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작성 기준" sheetId="1" state="visible" r:id="rId1"/>
    <sheet xmlns:r="http://schemas.openxmlformats.org/officeDocument/2006/relationships" name="대시보드" sheetId="2" state="visible" r:id="rId2"/>
    <sheet xmlns:r="http://schemas.openxmlformats.org/officeDocument/2006/relationships" name="런칭 체크리스트" sheetId="3" state="visible" r:id="rId3"/>
  </sheets>
  <definedNames>
    <definedName name="_xlnm._FilterDatabase" localSheetId="2" hidden="1">'런칭 체크리스트'!$A$4:$H$72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KR"/>
      <charset val="1"/>
      <family val="0"/>
      <color theme="1"/>
      <sz val="11"/>
    </font>
    <font>
      <name val="Noto Sans KR"/>
      <charset val="1"/>
      <family val="0"/>
      <b val="1"/>
      <color rgb="FF1B2A4A"/>
      <sz val="14"/>
    </font>
    <font>
      <name val="Noto Sans CJK SC"/>
      <family val="2"/>
      <b val="1"/>
      <color rgb="FF1B2A4A"/>
      <sz val="14"/>
    </font>
    <font>
      <name val="Noto Sans CJK SC"/>
      <family val="2"/>
      <color rgb="FF666666"/>
      <sz val="10"/>
    </font>
    <font>
      <name val="Noto Sans KR"/>
      <charset val="1"/>
      <family val="0"/>
      <color rgb="FF666666"/>
      <sz val="10"/>
    </font>
    <font>
      <name val="Noto Sans KR"/>
      <charset val="1"/>
      <family val="0"/>
      <b val="1"/>
      <color rgb="FF1B2A4A"/>
      <sz val="12"/>
    </font>
    <font>
      <name val="Noto Sans CJK SC"/>
      <family val="2"/>
      <b val="1"/>
      <color rgb="FF1B2A4A"/>
      <sz val="12"/>
    </font>
    <font>
      <name val="Noto Sans CJK SC"/>
      <family val="2"/>
      <b val="1"/>
      <color rgb="FF333333"/>
      <sz val="10"/>
    </font>
    <font>
      <name val="Noto Sans KR"/>
      <charset val="1"/>
      <family val="0"/>
      <color rgb="FF333333"/>
      <sz val="10"/>
    </font>
    <font>
      <name val="Noto Sans CJK SC"/>
      <family val="2"/>
      <color rgb="FF333333"/>
      <sz val="10"/>
    </font>
    <font>
      <name val="Noto Sans KR"/>
      <charset val="1"/>
      <family val="0"/>
      <b val="1"/>
      <color rgb="FF333333"/>
      <sz val="10"/>
    </font>
    <font>
      <name val="Noto Sans KR"/>
      <charset val="1"/>
      <family val="0"/>
      <b val="1"/>
      <color rgb="FFC0392B"/>
      <sz val="10"/>
    </font>
    <font>
      <name val="Noto Sans CJK SC"/>
      <family val="2"/>
      <b val="1"/>
      <color rgb="FFC0392B"/>
      <sz val="10"/>
    </font>
    <font>
      <name val="Noto Sans CJK SC"/>
      <family val="2"/>
      <color rgb="FF888888"/>
      <sz val="9"/>
    </font>
    <font>
      <name val="Noto Sans KR"/>
      <charset val="1"/>
      <family val="0"/>
      <color rgb="FF888888"/>
      <sz val="9"/>
    </font>
    <font>
      <name val="Noto Sans KR"/>
      <charset val="1"/>
      <family val="0"/>
      <b val="1"/>
      <color rgb="FF1B2A4A"/>
      <sz val="22"/>
    </font>
    <font>
      <name val="Noto Sans KR"/>
      <charset val="1"/>
      <family val="0"/>
      <b val="1"/>
      <color rgb="FF27AE60"/>
      <sz val="22"/>
    </font>
    <font>
      <name val="Noto Sans KR"/>
      <charset val="1"/>
      <family val="0"/>
      <b val="1"/>
      <color rgb="FFC0392B"/>
      <sz val="22"/>
    </font>
    <font>
      <name val="Noto Sans CJK SC"/>
      <family val="2"/>
      <color rgb="FF666666"/>
      <sz val="9"/>
    </font>
    <font>
      <name val="Noto Sans KR"/>
      <charset val="1"/>
      <family val="0"/>
      <color rgb="FF666666"/>
      <sz val="9"/>
    </font>
    <font>
      <name val="Noto Sans CJK SC"/>
      <family val="2"/>
      <b val="1"/>
      <color rgb="FFFFFFFF"/>
      <sz val="10"/>
    </font>
    <font>
      <name val="Noto Sans KR"/>
      <charset val="1"/>
      <family val="0"/>
      <b val="1"/>
      <color rgb="FFFFFFFF"/>
      <sz val="10"/>
    </font>
    <font>
      <name val="Noto Sans KR"/>
      <charset val="1"/>
      <family val="0"/>
      <b val="1"/>
      <sz val="10"/>
    </font>
    <font>
      <name val="Noto Sans CJK SC"/>
      <family val="2"/>
      <b val="1"/>
      <sz val="10"/>
    </font>
    <font>
      <name val="Noto Sans KR"/>
      <charset val="1"/>
      <family val="0"/>
      <b val="1"/>
      <sz val="11"/>
    </font>
    <font>
      <name val="Noto Sans CJK SC"/>
      <family val="2"/>
      <b val="1"/>
      <color rgb="FF1B2A4A"/>
      <sz val="11"/>
    </font>
    <font>
      <name val="Noto Sans KR"/>
      <charset val="1"/>
      <family val="0"/>
      <b val="1"/>
      <color rgb="FF1B2A4A"/>
      <sz val="11"/>
    </font>
    <font>
      <name val="Noto Sans KR"/>
      <charset val="1"/>
      <family val="0"/>
      <b val="1"/>
      <color rgb="FFC0392B"/>
      <sz val="14"/>
    </font>
    <font>
      <name val="Noto Sans KR"/>
      <charset val="1"/>
      <family val="0"/>
      <b val="1"/>
      <sz val="12"/>
    </font>
    <font>
      <name val="Noto Sans KR"/>
      <charset val="1"/>
      <family val="0"/>
      <b val="1"/>
      <sz val="9"/>
    </font>
    <font>
      <name val="Noto Sans CJK SC"/>
      <family val="2"/>
      <b val="1"/>
      <sz val="9"/>
    </font>
    <font>
      <name val="Noto Sans KR"/>
      <charset val="1"/>
      <family val="0"/>
      <sz val="10"/>
    </font>
    <font>
      <name val="Noto Sans CJK SC"/>
      <family val="2"/>
      <sz val="10"/>
    </font>
    <font>
      <name val="Noto Sans CJK SC"/>
      <family val="2"/>
      <color rgb="FF555555"/>
      <sz val="9"/>
    </font>
    <font>
      <name val="Noto Sans KR"/>
      <charset val="1"/>
      <family val="0"/>
      <color rgb="FF555555"/>
      <sz val="9"/>
    </font>
    <font>
      <name val="Noto Sans CJK SC"/>
      <family val="2"/>
      <color rgb="FFC0392B"/>
      <sz val="9"/>
    </font>
    <font>
      <name val="Noto Sans KR"/>
      <charset val="1"/>
      <family val="0"/>
      <color rgb="FFC0392B"/>
      <sz val="9"/>
    </font>
    <font>
      <name val="Noto Sans KR"/>
      <color theme="1"/>
      <sz val="11"/>
    </font>
    <font>
      <name val="Noto Sans KR"/>
      <color rgb="FF666666"/>
      <sz val="10"/>
    </font>
    <font>
      <name val="Noto Sans KR"/>
      <b val="1"/>
      <color rgb="FF333333"/>
      <sz val="10"/>
    </font>
    <font>
      <name val="Noto Sans KR"/>
      <color rgb="FF333333"/>
      <sz val="10"/>
    </font>
    <font>
      <name val="Noto Sans KR"/>
      <color rgb="FF888888"/>
      <sz val="9"/>
    </font>
    <font>
      <name val="Noto Sans KR"/>
      <b val="1"/>
      <color rgb="FF1B2A4A"/>
      <sz val="12"/>
    </font>
    <font>
      <name val="Noto Sans KR"/>
      <color rgb="FF666666"/>
      <sz val="9"/>
    </font>
    <font>
      <name val="Noto Sans KR"/>
      <b val="1"/>
      <color rgb="FFFFFFFF"/>
      <sz val="10"/>
    </font>
    <font>
      <name val="Noto Sans KR"/>
      <b val="1"/>
      <sz val="10"/>
    </font>
    <font>
      <name val="Noto Sans KR"/>
      <b val="1"/>
      <color rgb="FF1B2A4A"/>
      <sz val="11"/>
    </font>
    <font>
      <name val="Noto Sans KR"/>
      <color rgb="FF555555"/>
      <sz val="9"/>
    </font>
    <font>
      <name val="Noto Sans KR"/>
      <color rgb="FFC0392B"/>
      <sz val="9"/>
    </font>
    <font>
      <name val="Noto Sans KR"/>
      <sz val="10"/>
    </font>
  </fonts>
  <fills count="10">
    <fill>
      <patternFill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FADBD8"/>
        <bgColor rgb="FFF0F0F0"/>
      </patternFill>
    </fill>
    <fill>
      <patternFill patternType="solid">
        <fgColor rgb="FFFFF9C4"/>
        <bgColor rgb="FFFFFF99"/>
      </patternFill>
    </fill>
    <fill>
      <patternFill patternType="solid">
        <fgColor rgb="FFF0F0F0"/>
        <bgColor rgb="FFE8EDF3"/>
      </patternFill>
    </fill>
    <fill>
      <patternFill patternType="solid">
        <fgColor rgb="FFE8EDF3"/>
        <bgColor rgb="FFF0F0F0"/>
      </patternFill>
    </fill>
    <fill>
      <patternFill patternType="solid">
        <fgColor rgb="FFD5F5E3"/>
        <bgColor rgb="FFE8EDF3"/>
      </patternFill>
    </fill>
    <fill>
      <patternFill patternType="solid">
        <fgColor rgb="FFD2B4DE"/>
        <bgColor rgb="FFD0D0D0"/>
      </patternFill>
    </fill>
    <fill>
      <patternFill patternType="solid">
        <fgColor rgb="FFD5D8DC"/>
        <bgColor rgb="FFD0D0D0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center" wrapText="1"/>
    </xf>
    <xf numFmtId="0" fontId="13" fillId="0" borderId="0" applyAlignment="1" pivotButton="0" quotePrefix="0" xfId="0">
      <alignment horizontal="general" vertical="center" wrapText="1"/>
    </xf>
    <xf numFmtId="0" fontId="15" fillId="0" borderId="0" applyAlignment="1" pivotButton="0" quotePrefix="0" xfId="0">
      <alignment horizontal="general" vertical="center" wrapText="1"/>
    </xf>
    <xf numFmtId="0" fontId="14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/>
    </xf>
    <xf numFmtId="0" fontId="1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9" fontId="19" fillId="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4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9" fontId="14" fillId="0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27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 wrapText="1"/>
    </xf>
    <xf numFmtId="9" fontId="14" fillId="6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9" fontId="12" fillId="0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24" fillId="2" borderId="2" applyAlignment="1" pivotButton="0" quotePrefix="0" xfId="0">
      <alignment horizontal="center" vertical="center" wrapText="1"/>
    </xf>
    <xf numFmtId="0" fontId="28" fillId="7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28" fillId="4" borderId="1" applyAlignment="1" pivotButton="0" quotePrefix="0" xfId="0">
      <alignment horizontal="center" vertical="center" wrapText="1"/>
    </xf>
    <xf numFmtId="0" fontId="28" fillId="3" borderId="1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  <xf numFmtId="9" fontId="32" fillId="0" borderId="0" applyAlignment="1" pivotButton="0" quotePrefix="0" xfId="0">
      <alignment horizontal="center" vertical="center" wrapText="1"/>
    </xf>
    <xf numFmtId="0" fontId="33" fillId="3" borderId="1" applyAlignment="1" pivotButton="0" quotePrefix="0" xfId="0">
      <alignment horizontal="center" vertical="center" wrapText="1"/>
    </xf>
    <xf numFmtId="0" fontId="35" fillId="0" borderId="1" applyAlignment="1" pivotButton="0" quotePrefix="0" xfId="0">
      <alignment horizontal="general" vertical="center" wrapText="1"/>
    </xf>
    <xf numFmtId="0" fontId="37" fillId="0" borderId="1" applyAlignment="1" pivotButton="0" quotePrefix="0" xfId="0">
      <alignment horizontal="general" vertical="center" wrapText="1"/>
    </xf>
    <xf numFmtId="0" fontId="35" fillId="0" borderId="1" applyAlignment="1" pivotButton="0" quotePrefix="0" xfId="0">
      <alignment horizontal="center" vertical="center" wrapText="1"/>
    </xf>
    <xf numFmtId="0" fontId="39" fillId="0" borderId="1" applyAlignment="1" pivotButton="0" quotePrefix="0" xfId="0">
      <alignment horizontal="general" vertical="center" wrapText="1"/>
    </xf>
    <xf numFmtId="0" fontId="36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general" vertical="center" wrapText="1"/>
    </xf>
    <xf numFmtId="0" fontId="38" fillId="0" borderId="1" applyAlignment="1" pivotButton="0" quotePrefix="0" xfId="0">
      <alignment horizontal="general" vertical="center" wrapText="1"/>
    </xf>
    <xf numFmtId="0" fontId="33" fillId="4" borderId="1" applyAlignment="1" pivotButton="0" quotePrefix="0" xfId="0">
      <alignment horizontal="center" vertical="center" wrapText="1"/>
    </xf>
    <xf numFmtId="0" fontId="40" fillId="0" borderId="1" applyAlignment="1" pivotButton="0" quotePrefix="0" xfId="0">
      <alignment horizontal="general" vertical="center" wrapText="1"/>
    </xf>
    <xf numFmtId="0" fontId="33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1" fillId="0" borderId="0" pivotButton="0" quotePrefix="0" xfId="0"/>
    <xf numFmtId="0" fontId="42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 wrapText="1"/>
    </xf>
    <xf numFmtId="0" fontId="43" fillId="0" borderId="0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center" wrapText="1"/>
    </xf>
    <xf numFmtId="0" fontId="44" fillId="0" borderId="0" applyAlignment="1" pivotButton="0" quotePrefix="0" xfId="0">
      <alignment horizontal="general" vertical="center" wrapText="1"/>
    </xf>
    <xf numFmtId="0" fontId="15" fillId="0" borderId="0" applyAlignment="1" pivotButton="0" quotePrefix="0" xfId="0">
      <alignment horizontal="general" vertical="center" wrapText="1"/>
    </xf>
    <xf numFmtId="0" fontId="14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/>
    </xf>
    <xf numFmtId="0" fontId="45" fillId="0" borderId="0" applyAlignment="1" pivotButton="0" quotePrefix="0" xfId="0">
      <alignment horizontal="general" vertical="bottom"/>
    </xf>
    <xf numFmtId="0" fontId="46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9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48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9" fontId="14" fillId="0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49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 wrapText="1"/>
    </xf>
    <xf numFmtId="9" fontId="14" fillId="6" borderId="1" applyAlignment="1" pivotButton="0" quotePrefix="0" xfId="0">
      <alignment horizontal="center" vertical="center" wrapText="1"/>
    </xf>
    <xf numFmtId="0" fontId="44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 wrapText="1"/>
    </xf>
    <xf numFmtId="0" fontId="43" fillId="7" borderId="1" applyAlignment="1" pivotButton="0" quotePrefix="0" xfId="0">
      <alignment horizontal="left" vertical="center" wrapText="1"/>
    </xf>
    <xf numFmtId="9" fontId="12" fillId="0" borderId="1" applyAlignment="1" pivotButton="0" quotePrefix="0" xfId="0">
      <alignment horizontal="center" vertical="center" wrapText="1"/>
    </xf>
    <xf numFmtId="0" fontId="43" fillId="4" borderId="1" applyAlignment="1" pivotButton="0" quotePrefix="0" xfId="0">
      <alignment horizontal="left" vertical="center" wrapText="1"/>
    </xf>
    <xf numFmtId="0" fontId="43" fillId="3" borderId="1" applyAlignment="1" pivotButton="0" quotePrefix="0" xfId="0">
      <alignment horizontal="left" vertical="center" wrapText="1"/>
    </xf>
    <xf numFmtId="0" fontId="43" fillId="8" borderId="1" applyAlignment="1" pivotButton="0" quotePrefix="0" xfId="0">
      <alignment horizontal="left" vertical="center" wrapText="1"/>
    </xf>
    <xf numFmtId="0" fontId="43" fillId="9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48" fillId="2" borderId="2" applyAlignment="1" pivotButton="0" quotePrefix="0" xfId="0">
      <alignment horizontal="center" vertical="center" wrapText="1"/>
    </xf>
    <xf numFmtId="0" fontId="41" fillId="0" borderId="4" pivotButton="0" quotePrefix="0" xfId="0"/>
    <xf numFmtId="0" fontId="28" fillId="7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28" fillId="4" borderId="1" applyAlignment="1" pivotButton="0" quotePrefix="0" xfId="0">
      <alignment horizontal="center" vertical="center" wrapText="1"/>
    </xf>
    <xf numFmtId="0" fontId="28" fillId="3" borderId="1" applyAlignment="1" pivotButton="0" quotePrefix="0" xfId="0">
      <alignment horizontal="center" vertical="center" wrapText="1"/>
    </xf>
    <xf numFmtId="0" fontId="50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  <xf numFmtId="9" fontId="32" fillId="0" borderId="0" applyAlignment="1" pivotButton="0" quotePrefix="0" xfId="0">
      <alignment horizontal="center" vertical="center" wrapText="1"/>
    </xf>
    <xf numFmtId="0" fontId="33" fillId="3" borderId="1" applyAlignment="1" pivotButton="0" quotePrefix="0" xfId="0">
      <alignment horizontal="center" vertical="center" wrapText="1"/>
    </xf>
    <xf numFmtId="0" fontId="35" fillId="0" borderId="1" applyAlignment="1" pivotButton="0" quotePrefix="0" xfId="0">
      <alignment horizontal="general" vertical="center" wrapText="1"/>
    </xf>
    <xf numFmtId="0" fontId="51" fillId="0" borderId="1" applyAlignment="1" pivotButton="0" quotePrefix="0" xfId="0">
      <alignment horizontal="general" vertical="center" wrapText="1"/>
    </xf>
    <xf numFmtId="0" fontId="35" fillId="0" borderId="1" applyAlignment="1" pivotButton="0" quotePrefix="0" xfId="0">
      <alignment horizontal="center" vertical="center" wrapText="1"/>
    </xf>
    <xf numFmtId="0" fontId="52" fillId="0" borderId="1" applyAlignment="1" pivotButton="0" quotePrefix="0" xfId="0">
      <alignment horizontal="general" vertical="center" wrapText="1"/>
    </xf>
    <xf numFmtId="0" fontId="53" fillId="3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general" vertical="center" wrapText="1"/>
    </xf>
    <xf numFmtId="0" fontId="38" fillId="0" borderId="1" applyAlignment="1" pivotButton="0" quotePrefix="0" xfId="0">
      <alignment horizontal="general" vertical="center" wrapText="1"/>
    </xf>
    <xf numFmtId="0" fontId="33" fillId="4" borderId="1" applyAlignment="1" pivotButton="0" quotePrefix="0" xfId="0">
      <alignment horizontal="center" vertical="center" wrapText="1"/>
    </xf>
    <xf numFmtId="0" fontId="40" fillId="0" borderId="1" applyAlignment="1" pivotButton="0" quotePrefix="0" xfId="0">
      <alignment horizontal="general" vertical="center" wrapText="1"/>
    </xf>
    <xf numFmtId="0" fontId="33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0F0F0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fgColor rgb="FFC0392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888888"/>
      <rgbColor rgb="FF9999FF"/>
      <rgbColor rgb="FF993366"/>
      <rgbColor rgb="FFFFF9C4"/>
      <rgbColor rgb="FFE8EDF3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D5F5E3"/>
      <rgbColor rgb="FFFFFF99"/>
      <rgbColor rgb="FF99CCFF"/>
      <rgbColor rgb="FFFF99CC"/>
      <rgbColor rgb="FFD2B4DE"/>
      <rgbColor rgb="FFFADBD8"/>
      <rgbColor rgb="FF2E86C1"/>
      <rgbColor rgb="FF33CCCC"/>
      <rgbColor rgb="FF99CC00"/>
      <rgbColor rgb="FFFFCC00"/>
      <rgbColor rgb="FFFF9900"/>
      <rgbColor rgb="FFFF6600"/>
      <rgbColor rgb="FF666666"/>
      <rgbColor rgb="FF969696"/>
      <rgbColor rgb="FF1B2A4A"/>
      <rgbColor rgb="FF27AE60"/>
      <rgbColor rgb="FF003300"/>
      <rgbColor rgb="FF333300"/>
      <rgbColor rgb="FFC0392B"/>
      <rgbColor rgb="FF993366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B2A4A"/>
    <outlinePr summaryBelow="1" summaryRight="1"/>
    <pageSetUpPr fitToPage="0"/>
  </sheetPr>
  <dimension ref="A1:C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9" min="1" max="1"/>
    <col width="22" customWidth="1" style="59" min="2" max="2"/>
    <col width="75" customWidth="1" style="59" min="3" max="3"/>
  </cols>
  <sheetData>
    <row r="1" ht="15" customHeight="1" s="60">
      <c r="A1" s="61" t="n"/>
      <c r="B1" s="61" t="n"/>
      <c r="C1" s="61" t="n"/>
    </row>
    <row r="2" ht="34.5" customHeight="1" s="60">
      <c r="A2" s="61" t="n"/>
      <c r="B2" s="62" t="inlineStr">
        <is>
          <t>SSBL 런칭 체크리스트 — 작성 기준</t>
        </is>
      </c>
      <c r="C2" s="63" t="n"/>
    </row>
    <row r="3" ht="15" customHeight="1" s="60">
      <c r="A3" s="61" t="n"/>
      <c r="B3" s="64" t="inlineStr">
        <is>
          <t>이 문서는 런칭 D-30 전시 상황에서의 체크리스트 운영 원칙을 정의합니다.</t>
        </is>
      </c>
      <c r="C3" s="63" t="n"/>
    </row>
    <row r="4" ht="15" customHeight="1" s="60">
      <c r="A4" s="61" t="n"/>
      <c r="B4" s="61" t="n"/>
      <c r="C4" s="61" t="n"/>
    </row>
    <row r="5" ht="18.75" customHeight="1" s="60">
      <c r="A5" s="61" t="n"/>
      <c r="B5" s="65" t="inlineStr">
        <is>
          <t>1. 핵심 원칙</t>
        </is>
      </c>
      <c r="C5" s="63" t="n"/>
    </row>
    <row r="6" ht="15" customHeight="1" s="60">
      <c r="A6" s="61" t="n"/>
      <c r="B6" s="61" t="n"/>
      <c r="C6" s="61" t="n"/>
    </row>
    <row r="7" ht="49.5" customHeight="1" s="60">
      <c r="A7" s="61" t="n"/>
      <c r="B7" s="66" t="inlineStr">
        <is>
          <t>체크리스트의 목적</t>
        </is>
      </c>
      <c r="C7" s="67" t="inlineStr">
        <is>
          <t>"뭘 할지"가 아니라 "뭘 안 할지"를 결정하는 도구.
한 달 안에 모든 것을 할 수 없다. 버릴 것을 명확히 해야 남은 것을 끝낼 수 있다.</t>
        </is>
      </c>
    </row>
    <row r="8" ht="49.5" customHeight="1" s="60">
      <c r="A8" s="61" t="n"/>
      <c r="B8" s="66" t="inlineStr">
        <is>
          <t>항목의 크기 (얼마나 잘게 쪼갤 것인가)</t>
        </is>
      </c>
      <c r="C8" s="68" t="inlineStr">
        <is>
          <t>한 명의 담당자가 완료 여부를 YES/NO로 판단할 수 있는 단위.
"서버 개발 완료"는 너무 크고, "DB index 추가"는 너무 작다.</t>
        </is>
      </c>
    </row>
    <row r="9" ht="49.5" customHeight="1" s="60">
      <c r="A9" s="61" t="n"/>
      <c r="B9" s="66" t="inlineStr">
        <is>
          <t>살아있는 문서</t>
        </is>
      </c>
      <c r="C9" s="68" t="inlineStr">
        <is>
          <t>매일 이 체크리스트 기준으로 현황 점검.
"어제 뭐 끝났고, 오늘 뭐 해야 하고, 뭐가 막혀있는지" 확인.</t>
        </is>
      </c>
    </row>
    <row r="10" ht="49.5" customHeight="1" s="60">
      <c r="A10" s="61" t="n"/>
      <c r="B10" s="66" t="inlineStr">
        <is>
          <t>완벽 포기, 생존 확보</t>
        </is>
      </c>
      <c r="C10" s="68" t="inlineStr">
        <is>
          <t>완벽한 런칭을 포기하고 "치명적 사고 없는 런칭"을 목표로 한다.
런칭 후 첫 업데이트에서 보강하는 전략을 전제한다.</t>
        </is>
      </c>
    </row>
    <row r="11" ht="15" customHeight="1" s="60">
      <c r="A11" s="61" t="n"/>
      <c r="B11" s="61" t="n"/>
      <c r="C11" s="61" t="n"/>
    </row>
    <row r="12" ht="18.75" customHeight="1" s="60">
      <c r="A12" s="61" t="n"/>
      <c r="B12" s="65" t="inlineStr">
        <is>
          <t>2. 3단계 분류 기준</t>
        </is>
      </c>
      <c r="C12" s="63" t="n"/>
    </row>
    <row r="13" ht="15" customHeight="1" s="60">
      <c r="A13" s="61" t="n"/>
      <c r="B13" s="61" t="n"/>
      <c r="C13" s="61" t="n"/>
    </row>
    <row r="14" ht="79.5" customHeight="1" s="60">
      <c r="A14" s="61" t="n"/>
      <c r="B14" s="69" t="inlineStr">
        <is>
          <t>[P0] 필수
— 이거 없으면 출시 불가</t>
        </is>
      </c>
      <c r="C14" s="68" t="inlineStr">
        <is>
          <t>이것이 안 되면 물리적으로 런칭이 불가능한 항목.
스토어 심사, 결제 동작, 서버 가동, 법적 의무(확률 공시, 이용약관 등).
[!] 전체 항목의 30% 이내로 제한. 넘으면 분류가 잘못된 것.</t>
        </is>
      </c>
    </row>
    <row r="15" ht="79.5" customHeight="1" s="60">
      <c r="A15" s="61" t="n"/>
      <c r="B15" s="69" t="inlineStr">
        <is>
          <t>[P1] 중요
— 첫인상이 걸린 항목</t>
        </is>
      </c>
      <c r="C15" s="68" t="inlineStr">
        <is>
          <t>없으면 런칭은 되지만 첫인상이 심각하게 훼손되는 항목.
튜토리얼 완성도, 주요 버그 수정, 번역 품질, 런칭 이벤트.
[!] "있으면 좋겠다"는 전부 [P2]로 내린다.</t>
        </is>
      </c>
    </row>
    <row r="16" ht="79.5" customHeight="1" s="60">
      <c r="A16" s="61" t="n"/>
      <c r="B16" s="69" t="inlineStr">
        <is>
          <t>[P2] 후속
— 출시 후 대응 가능</t>
        </is>
      </c>
      <c r="C16" s="68" t="inlineStr">
        <is>
          <t>런칭 후 첫 번째~두 번째 업데이트에서 대응 가능한 항목.
대부분의 편의 기능, 최적화, 부가 콘텐츠.
[!] 여기에 과감하게 넣지 못하면 한 달 안에 끝나는 건 없다.</t>
        </is>
      </c>
    </row>
    <row r="17" ht="15" customHeight="1" s="60">
      <c r="A17" s="61" t="n"/>
      <c r="B17" s="61" t="n"/>
      <c r="C17" s="61" t="n"/>
    </row>
    <row r="18" ht="18.75" customHeight="1" s="60">
      <c r="A18" s="61" t="n"/>
      <c r="B18" s="65" t="inlineStr">
        <is>
          <t>3. 담당자 상태 정의</t>
        </is>
      </c>
      <c r="C18" s="63" t="n"/>
    </row>
    <row r="19" ht="15" customHeight="1" s="60">
      <c r="A19" s="61" t="n"/>
      <c r="B19" s="61" t="n"/>
      <c r="C19" s="61" t="n"/>
    </row>
    <row r="20" ht="49.5" customHeight="1" s="60">
      <c r="A20" s="61" t="n"/>
      <c r="B20" s="66" t="inlineStr">
        <is>
          <t>이름 명시</t>
        </is>
      </c>
      <c r="C20" s="68" t="inlineStr">
        <is>
          <t>확정된 담당자. 이 사람에게 매일 진행 상황을 확인한다.</t>
        </is>
      </c>
    </row>
    <row r="21" ht="49.5" customHeight="1" s="60">
      <c r="A21" s="61" t="n"/>
      <c r="B21" s="66" t="inlineStr">
        <is>
          <t>인수필요</t>
        </is>
      </c>
      <c r="C21" s="68" t="inlineStr">
        <is>
          <t>레거시 담당자 퇴사/이동으로 인수인계가 필요한 항목.
즉시 재배치 대상. 48시간 내 담당자를 지정하지 못하면 "포기"로 전환 검토.</t>
        </is>
      </c>
    </row>
    <row r="22" ht="49.5" customHeight="1" s="60">
      <c r="A22" s="61" t="n"/>
      <c r="B22" s="66" t="inlineStr">
        <is>
          <t>미정</t>
        </is>
      </c>
      <c r="C22" s="68" t="inlineStr">
        <is>
          <t>아무도 잡지 않은 항목. 가장 위험한 상태.
모두가 "누군가 하겠지"라고 생각하는 항목이 런칭을 터뜨린다.</t>
        </is>
      </c>
    </row>
    <row r="23" ht="49.5" customHeight="1" s="60">
      <c r="A23" s="61" t="n"/>
      <c r="B23" s="66" t="inlineStr">
        <is>
          <t>포기</t>
        </is>
      </c>
      <c r="C23" s="68" t="inlineStr">
        <is>
          <t>한 달 안에 불가능하다고 팀이 합의한 항목. 포기도 의사결정이다.
런칭 후 로드맵에 명시적으로 넘긴다.</t>
        </is>
      </c>
    </row>
    <row r="24" ht="15" customHeight="1" s="60">
      <c r="A24" s="61" t="n"/>
      <c r="B24" s="61" t="n"/>
      <c r="C24" s="61" t="n"/>
    </row>
    <row r="25" ht="18.75" customHeight="1" s="60">
      <c r="A25" s="61" t="n"/>
      <c r="B25" s="65" t="inlineStr">
        <is>
          <t>4. 운영 규칙</t>
        </is>
      </c>
      <c r="C25" s="63" t="n"/>
    </row>
    <row r="26" ht="15" customHeight="1" s="60">
      <c r="A26" s="61" t="n"/>
      <c r="B26" s="61" t="n"/>
      <c r="C26" s="61" t="n"/>
    </row>
    <row r="27" ht="49.5" customHeight="1" s="60">
      <c r="A27" s="61" t="n"/>
      <c r="B27" s="66" t="inlineStr">
        <is>
          <t>일일 점검</t>
        </is>
      </c>
      <c r="C27" s="68" t="inlineStr">
        <is>
          <t>매일 이 체크리스트 기준으로 현황 점검.
"어제 뭐 끝났고, 오늘 뭐 해야 하고, 뭐가 막혀있는지" 확인.</t>
        </is>
      </c>
    </row>
    <row r="28" ht="49.5" customHeight="1" s="60">
      <c r="A28" s="61" t="n"/>
      <c r="B28" s="66" t="inlineStr">
        <is>
          <t>마감일 기준</t>
        </is>
      </c>
      <c r="C28" s="68" t="inlineStr">
        <is>
          <t>주 단위가 아니라 일 단위. "3월 셋째 주"가 아니라 "3월 17일 EOD".
[P0] 필수 항목은 반드시 일 단위 마감.</t>
        </is>
      </c>
    </row>
    <row r="29" ht="49.5" customHeight="1" s="60">
      <c r="A29" s="61" t="n"/>
      <c r="B29" s="66" t="inlineStr">
        <is>
          <t>정렬 기준</t>
        </is>
      </c>
      <c r="C29" s="67" t="inlineStr">
        <is>
          <t>Tier → 마감일 순. 카테고리별 정렬 금지.
"서버에서 뭘 해야 하지"가 아니라 "오늘 뭘 해야 하지"가 보여야 한다.</t>
        </is>
      </c>
    </row>
    <row r="30" ht="49.5" customHeight="1" s="60">
      <c r="A30" s="61" t="n"/>
      <c r="B30" s="66" t="inlineStr">
        <is>
          <t>블로커 명시</t>
        </is>
      </c>
      <c r="C30" s="67" t="inlineStr">
        <is>
          <t>"이게 안 끝나면 저것도 못 한다"는 관계를 블로커 컬럼에 명시.
크리티컬 패스의 가장 앞에 있는 항목이 진짜 1순위.</t>
        </is>
      </c>
    </row>
    <row r="31" ht="49.5" customHeight="1" s="60">
      <c r="A31" s="61" t="n"/>
      <c r="B31" s="66" t="inlineStr">
        <is>
          <t>대표 보고</t>
        </is>
      </c>
      <c r="C31" s="68" t="inlineStr">
        <is>
          <t>이 체크리스트 하나로 보고. 별도 보고서 작성 금지.
[P0] 항목 중 "인수필요/미정" 현황 → 의사결정 요청 포맷으로 보고.</t>
        </is>
      </c>
    </row>
    <row r="32" ht="15" customHeight="1" s="60">
      <c r="A32" s="61" t="n"/>
      <c r="B32" s="61" t="n"/>
      <c r="C32" s="61" t="n"/>
    </row>
    <row r="33" ht="18.75" customHeight="1" s="60">
      <c r="A33" s="61" t="n"/>
      <c r="B33" s="65" t="inlineStr">
        <is>
          <t>5. Go/No-Go 판단 기준</t>
        </is>
      </c>
      <c r="C33" s="63" t="n"/>
    </row>
    <row r="34" ht="15" customHeight="1" s="60">
      <c r="A34" s="61" t="n"/>
      <c r="B34" s="61" t="n"/>
      <c r="C34" s="61" t="n"/>
    </row>
    <row r="35" ht="49.5" customHeight="1" s="60">
      <c r="A35" s="61" t="n"/>
      <c r="B35" s="70" t="inlineStr">
        <is>
          <t>Go 조건</t>
        </is>
      </c>
      <c r="C35" s="67" t="inlineStr">
        <is>
          <t>[P0] 필수 항목 100% 완료 + [P1] 중요 항목 80% 이상 완료.
담당 "미정" 항목이 [P0]에 0건.</t>
        </is>
      </c>
    </row>
    <row r="36" ht="49.5" customHeight="1" s="60">
      <c r="A36" s="61" t="n"/>
      <c r="B36" s="70" t="inlineStr">
        <is>
          <t>Conditional Go</t>
        </is>
      </c>
      <c r="C36" s="67" t="inlineStr">
        <is>
          <t>[P0] 100% 완료 + [P1] 60~80% 완료.
잔여 [P1] 항목에 대한 D+3 이내 핫픽스 플랜 확보 시 런칭 진행.</t>
        </is>
      </c>
    </row>
    <row r="37" ht="49.5" customHeight="1" s="60">
      <c r="A37" s="61" t="n"/>
      <c r="B37" s="70" t="inlineStr">
        <is>
          <t>No-Go</t>
        </is>
      </c>
      <c r="C37" s="67" t="inlineStr">
        <is>
          <t>[P0] 필수 항목 미완료 건 존재.
결제, 법적 의무, 스토어 심사 중 하나라도 미충족 시 런칭 연기.</t>
        </is>
      </c>
    </row>
  </sheetData>
  <mergeCells count="7">
    <mergeCell ref="B2:C2"/>
    <mergeCell ref="B33:C33"/>
    <mergeCell ref="B25:C25"/>
    <mergeCell ref="B3:C3"/>
    <mergeCell ref="B5:C5"/>
    <mergeCell ref="B18:C18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86C1"/>
    <outlinePr summaryBelow="1" summaryRight="1"/>
    <pageSetUpPr fitToPage="0"/>
  </sheetPr>
  <dimension ref="A1:G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59" min="1" max="1"/>
    <col width="18" customWidth="1" style="59" min="2" max="2"/>
    <col width="12" customWidth="1" style="59" min="3" max="6"/>
    <col width="14" customWidth="1" style="59" min="7" max="7"/>
    <col width="3" customWidth="1" style="59" min="8" max="8"/>
  </cols>
  <sheetData>
    <row r="1" ht="34.5" customHeight="1" s="60">
      <c r="A1" s="61" t="n"/>
      <c r="B1" s="71" t="inlineStr">
        <is>
          <t>SSBL 런칭 준비 현황 대시보드</t>
        </is>
      </c>
      <c r="C1" s="63" t="n"/>
      <c r="D1" s="63" t="n"/>
      <c r="E1" s="63" t="n"/>
      <c r="F1" s="63" t="n"/>
      <c r="G1" s="63" t="n"/>
    </row>
    <row r="2" ht="15" customHeight="1" s="60">
      <c r="A2" s="61" t="n"/>
      <c r="B2" s="72" t="inlineStr">
        <is>
          <t>최종 업데이트: 2026-02-24 | 체크리스트 상태 변경 시 자동 반영</t>
        </is>
      </c>
      <c r="C2" s="63" t="n"/>
      <c r="D2" s="63" t="n"/>
      <c r="E2" s="63" t="n"/>
      <c r="F2" s="63" t="n"/>
      <c r="G2" s="63" t="n"/>
    </row>
    <row r="3" ht="15" customHeight="1" s="60">
      <c r="A3" s="61" t="n"/>
      <c r="B3" s="61" t="n"/>
      <c r="C3" s="61" t="n"/>
      <c r="D3" s="61" t="n"/>
      <c r="E3" s="61" t="n"/>
      <c r="F3" s="61" t="n"/>
      <c r="G3" s="61" t="n"/>
    </row>
    <row r="4" ht="24.75" customHeight="1" s="60">
      <c r="A4" s="61" t="n"/>
      <c r="B4" s="73" t="inlineStr">
        <is>
          <t>핵심 지표</t>
        </is>
      </c>
      <c r="C4" s="63" t="n"/>
      <c r="D4" s="63" t="n"/>
      <c r="E4" s="63" t="n"/>
      <c r="F4" s="63" t="n"/>
      <c r="G4" s="63" t="n"/>
    </row>
    <row r="5" ht="45" customHeight="1" s="60">
      <c r="A5" s="61" t="n"/>
      <c r="B5" s="74">
        <f>COUNTA('런칭 체크리스트'!B5:B200)</f>
        <v/>
      </c>
      <c r="C5" s="75">
        <f>COUNTIF('런칭 체크리스트'!G5:G200,"완료")</f>
        <v/>
      </c>
      <c r="D5" s="74">
        <f>COUNTIF('런칭 체크리스트'!G5:G200,"진행중")</f>
        <v/>
      </c>
      <c r="E5" s="76">
        <f>COUNTIF('런칭 체크리스트'!G5:G200,"미착수")+COUNTIF('런칭 체크리스트'!G5:G200,"블로킹")</f>
        <v/>
      </c>
      <c r="F5" s="77">
        <f>IF(B5=0,0,C5/B5)</f>
        <v/>
      </c>
      <c r="G5" s="61" t="n"/>
    </row>
    <row r="6" ht="19.5" customHeight="1" s="60">
      <c r="A6" s="61" t="n"/>
      <c r="B6" s="78" t="inlineStr">
        <is>
          <t>전체 항목</t>
        </is>
      </c>
      <c r="C6" s="78" t="inlineStr">
        <is>
          <t>완료</t>
        </is>
      </c>
      <c r="D6" s="78" t="inlineStr">
        <is>
          <t>진행중</t>
        </is>
      </c>
      <c r="E6" s="78" t="inlineStr">
        <is>
          <t>미착수/블로킹</t>
        </is>
      </c>
      <c r="F6" s="78" t="inlineStr">
        <is>
          <t>전체 완료율</t>
        </is>
      </c>
      <c r="G6" s="61" t="n"/>
    </row>
    <row r="7" ht="15" customHeight="1" s="60">
      <c r="A7" s="61" t="n"/>
      <c r="B7" s="61" t="n"/>
      <c r="C7" s="61" t="n"/>
      <c r="D7" s="61" t="n"/>
      <c r="E7" s="61" t="n"/>
      <c r="F7" s="61" t="n"/>
      <c r="G7" s="61" t="n"/>
    </row>
    <row r="8" ht="18.75" customHeight="1" s="60">
      <c r="A8" s="61" t="n"/>
      <c r="B8" s="73" t="inlineStr">
        <is>
          <t>구분별 현황</t>
        </is>
      </c>
      <c r="C8" s="63" t="n"/>
      <c r="D8" s="63" t="n"/>
      <c r="E8" s="63" t="n"/>
      <c r="F8" s="63" t="n"/>
      <c r="G8" s="63" t="n"/>
    </row>
    <row r="9" ht="25.5" customHeight="1" s="60">
      <c r="A9" s="61" t="n"/>
      <c r="B9" s="79" t="inlineStr">
        <is>
          <t>구분</t>
        </is>
      </c>
      <c r="C9" s="79" t="inlineStr">
        <is>
          <t>전체</t>
        </is>
      </c>
      <c r="D9" s="79" t="inlineStr">
        <is>
          <t>완료</t>
        </is>
      </c>
      <c r="E9" s="79" t="inlineStr">
        <is>
          <t>진행중</t>
        </is>
      </c>
      <c r="F9" s="79" t="inlineStr">
        <is>
          <t>미착수/블로킹</t>
        </is>
      </c>
      <c r="G9" s="79" t="inlineStr">
        <is>
          <t>완료율</t>
        </is>
      </c>
    </row>
    <row r="10" ht="27.75" customHeight="1" s="60">
      <c r="A10" s="61" t="n"/>
      <c r="B10" s="80" t="inlineStr">
        <is>
          <t>[P0] 필수</t>
        </is>
      </c>
      <c r="C10" s="81">
        <f>COUNTIF('런칭 체크리스트'!A:A,B10)</f>
        <v/>
      </c>
      <c r="D10" s="81">
        <f>COUNTIFS('런칭 체크리스트'!A:A,B10,'런칭 체크리스트'!G:G,"완료")</f>
        <v/>
      </c>
      <c r="E10" s="81">
        <f>COUNTIFS('런칭 체크리스트'!A:A,B10,'런칭 체크리스트'!G:G,"진행중")</f>
        <v/>
      </c>
      <c r="F10" s="81">
        <f>COUNTIFS('런칭 체크리스트'!A:A,B10,'런칭 체크리스트'!G:G,"미착수")+COUNTIFS('런칭 체크리스트'!A:A,B10,'런칭 체크리스트'!G:G,"블로킹")</f>
        <v/>
      </c>
      <c r="G10" s="82">
        <f>IF(C10=0,0,D10/C10)</f>
        <v/>
      </c>
    </row>
    <row r="11" ht="27.75" customHeight="1" s="60">
      <c r="A11" s="61" t="n"/>
      <c r="B11" s="83" t="inlineStr">
        <is>
          <t>[P1] 중요</t>
        </is>
      </c>
      <c r="C11" s="81">
        <f>COUNTIF('런칭 체크리스트'!A:A,B11)</f>
        <v/>
      </c>
      <c r="D11" s="81">
        <f>COUNTIFS('런칭 체크리스트'!A:A,B11,'런칭 체크리스트'!G:G,"완료")</f>
        <v/>
      </c>
      <c r="E11" s="81">
        <f>COUNTIFS('런칭 체크리스트'!A:A,B11,'런칭 체크리스트'!G:G,"진행중")</f>
        <v/>
      </c>
      <c r="F11" s="81">
        <f>COUNTIFS('런칭 체크리스트'!A:A,B11,'런칭 체크리스트'!G:G,"미착수")+COUNTIFS('런칭 체크리스트'!A:A,B11,'런칭 체크리스트'!G:G,"블로킹")</f>
        <v/>
      </c>
      <c r="G11" s="82">
        <f>IF(C11=0,0,D11/C11)</f>
        <v/>
      </c>
    </row>
    <row r="12" ht="27.75" customHeight="1" s="60">
      <c r="A12" s="61" t="n"/>
      <c r="B12" s="84" t="inlineStr">
        <is>
          <t>[P2] 후속</t>
        </is>
      </c>
      <c r="C12" s="81">
        <f>COUNTIF('런칭 체크리스트'!A:A,B12)</f>
        <v/>
      </c>
      <c r="D12" s="81">
        <f>COUNTIFS('런칭 체크리스트'!A:A,B12,'런칭 체크리스트'!G:G,"완료")</f>
        <v/>
      </c>
      <c r="E12" s="81">
        <f>COUNTIFS('런칭 체크리스트'!A:A,B12,'런칭 체크리스트'!G:G,"진행중")</f>
        <v/>
      </c>
      <c r="F12" s="81">
        <f>COUNTIFS('런칭 체크리스트'!A:A,B12,'런칭 체크리스트'!G:G,"미착수")+COUNTIFS('런칭 체크리스트'!A:A,B12,'런칭 체크리스트'!G:G,"블로킹")</f>
        <v/>
      </c>
      <c r="G12" s="82">
        <f>IF(C12=0,0,D12/C12)</f>
        <v/>
      </c>
    </row>
    <row r="13" ht="15" customHeight="1" s="60">
      <c r="A13" s="61" t="n"/>
      <c r="B13" s="85" t="inlineStr">
        <is>
          <t>합계</t>
        </is>
      </c>
      <c r="C13" s="86">
        <f>SUM(C10:C12)</f>
        <v/>
      </c>
      <c r="D13" s="86">
        <f>SUM(D10:D12)</f>
        <v/>
      </c>
      <c r="E13" s="86">
        <f>SUM(E10:E12)</f>
        <v/>
      </c>
      <c r="F13" s="86">
        <f>SUM(F10:F12)</f>
        <v/>
      </c>
      <c r="G13" s="87">
        <f>IF(C13=0,0,D13/C13)</f>
        <v/>
      </c>
    </row>
    <row r="14" ht="15" customHeight="1" s="60">
      <c r="A14" s="61" t="n"/>
      <c r="B14" s="61" t="n"/>
      <c r="C14" s="61" t="n"/>
      <c r="D14" s="61" t="n"/>
      <c r="E14" s="61" t="n"/>
      <c r="F14" s="61" t="n"/>
      <c r="G14" s="61" t="n"/>
    </row>
    <row r="15" ht="15" customHeight="1" s="60">
      <c r="A15" s="61" t="n"/>
      <c r="B15" s="73" t="inlineStr">
        <is>
          <t>담당자 리스크 현황</t>
        </is>
      </c>
      <c r="C15" s="63" t="n"/>
      <c r="D15" s="63" t="n"/>
      <c r="E15" s="63" t="n"/>
      <c r="F15" s="63" t="n"/>
      <c r="G15" s="63" t="n"/>
    </row>
    <row r="16" ht="15" customHeight="1" s="60">
      <c r="A16" s="61" t="n"/>
      <c r="B16" s="79" t="inlineStr">
        <is>
          <t>항목</t>
        </is>
      </c>
      <c r="C16" s="79" t="inlineStr">
        <is>
          <t>건수</t>
        </is>
      </c>
      <c r="D16" s="61" t="n"/>
      <c r="E16" s="61" t="n"/>
      <c r="F16" s="61" t="n"/>
      <c r="G16" s="61" t="n"/>
    </row>
    <row r="17" ht="25.5" customHeight="1" s="60">
      <c r="A17" s="61" t="n"/>
      <c r="B17" s="88" t="inlineStr">
        <is>
          <t>담당자 "미정" (가장 위험)</t>
        </is>
      </c>
      <c r="C17" s="89">
        <f>COUNTIF('런칭 체크리스트'!D:D,"미정")</f>
        <v/>
      </c>
      <c r="D17" s="61" t="n"/>
      <c r="E17" s="61" t="n"/>
      <c r="F17" s="61" t="n"/>
      <c r="G17" s="61" t="n"/>
    </row>
    <row r="18" ht="25.5" customHeight="1" s="60">
      <c r="A18" s="61" t="n"/>
      <c r="B18" s="88" t="inlineStr">
        <is>
          <t>담당자 "인수필요"</t>
        </is>
      </c>
      <c r="C18" s="89">
        <f>COUNTIF('런칭 체크리스트'!D:D,"인수필요")</f>
        <v/>
      </c>
      <c r="D18" s="61" t="n"/>
      <c r="E18" s="61" t="n"/>
      <c r="F18" s="61" t="n"/>
      <c r="G18" s="61" t="n"/>
    </row>
    <row r="19" ht="25.5" customHeight="1" s="60">
      <c r="A19" s="61" t="n"/>
      <c r="B19" s="88" t="inlineStr">
        <is>
          <t>담당자 "포기"</t>
        </is>
      </c>
      <c r="C19" s="89">
        <f>COUNTIF('런칭 체크리스트'!D:D,"포기")</f>
        <v/>
      </c>
      <c r="D19" s="61" t="n"/>
      <c r="E19" s="61" t="n"/>
      <c r="F19" s="61" t="n"/>
      <c r="G19" s="61" t="n"/>
    </row>
    <row r="20" ht="25.5" customHeight="1" s="60">
      <c r="A20" s="61" t="n"/>
      <c r="B20" s="90" t="inlineStr">
        <is>
          <t>"미정" 중 [P0] 필수</t>
        </is>
      </c>
      <c r="C20" s="91">
        <f>COUNTIFS('런칭 체크리스트'!D:D,"미정",'런칭 체크리스트'!A:A,"[P0] 필수")</f>
        <v/>
      </c>
      <c r="D20" s="61" t="n"/>
      <c r="E20" s="61" t="n"/>
      <c r="F20" s="61" t="n"/>
      <c r="G20" s="61" t="n"/>
    </row>
    <row r="21" ht="25.5" customHeight="1" s="60">
      <c r="A21" s="61" t="n"/>
      <c r="B21" s="90" t="inlineStr">
        <is>
          <t>"인수필요" 중 [P0] 필수</t>
        </is>
      </c>
      <c r="C21" s="91">
        <f>COUNTIFS('런칭 체크리스트'!D:D,"인수필요",'런칭 체크리스트'!A:A,"[P0] 필수")</f>
        <v/>
      </c>
      <c r="D21" s="61" t="n"/>
      <c r="E21" s="61" t="n"/>
      <c r="F21" s="61" t="n"/>
      <c r="G21" s="61" t="n"/>
    </row>
    <row r="22" ht="15" customHeight="1" s="60">
      <c r="A22" s="61" t="n"/>
      <c r="B22" s="61" t="n"/>
      <c r="C22" s="61" t="n"/>
      <c r="D22" s="61" t="n"/>
      <c r="E22" s="61" t="n"/>
      <c r="F22" s="61" t="n"/>
      <c r="G22" s="61" t="n"/>
    </row>
    <row r="23" ht="15" customHeight="1" s="60">
      <c r="A23" s="61" t="n"/>
      <c r="B23" s="73" t="inlineStr">
        <is>
          <t>상태별 현황</t>
        </is>
      </c>
      <c r="C23" s="63" t="n"/>
      <c r="D23" s="63" t="n"/>
      <c r="E23" s="63" t="n"/>
      <c r="F23" s="63" t="n"/>
      <c r="G23" s="63" t="n"/>
    </row>
    <row r="24" ht="15" customHeight="1" s="60">
      <c r="A24" s="61" t="n"/>
      <c r="B24" s="79" t="inlineStr">
        <is>
          <t>상태</t>
        </is>
      </c>
      <c r="C24" s="79" t="inlineStr">
        <is>
          <t>건수</t>
        </is>
      </c>
      <c r="D24" s="79" t="inlineStr">
        <is>
          <t>비율</t>
        </is>
      </c>
      <c r="E24" s="61" t="n"/>
      <c r="F24" s="61" t="n"/>
      <c r="G24" s="61" t="n"/>
    </row>
    <row r="25" ht="25.5" customHeight="1" s="60">
      <c r="A25" s="61" t="n"/>
      <c r="B25" s="92" t="inlineStr">
        <is>
          <t>완료</t>
        </is>
      </c>
      <c r="C25" s="81">
        <f>COUNTIF('런칭 체크리스트'!G:G,B25)</f>
        <v/>
      </c>
      <c r="D25" s="93">
        <f>IF(COUNTA('런칭 체크리스트'!B5:B200)=0,0,C25/COUNTA('런칭 체크리스트'!B5:B200))</f>
        <v/>
      </c>
      <c r="E25" s="61" t="n"/>
      <c r="F25" s="61" t="n"/>
      <c r="G25" s="61" t="n"/>
    </row>
    <row r="26" ht="25.5" customHeight="1" s="60">
      <c r="A26" s="61" t="n"/>
      <c r="B26" s="94" t="inlineStr">
        <is>
          <t>진행중</t>
        </is>
      </c>
      <c r="C26" s="81">
        <f>COUNTIF('런칭 체크리스트'!G:G,B26)</f>
        <v/>
      </c>
      <c r="D26" s="93">
        <f>IF(COUNTA('런칭 체크리스트'!B5:B200)=0,0,C26/COUNTA('런칭 체크리스트'!B5:B200))</f>
        <v/>
      </c>
      <c r="E26" s="61" t="n"/>
      <c r="F26" s="61" t="n"/>
      <c r="G26" s="61" t="n"/>
    </row>
    <row r="27" ht="25.5" customHeight="1" s="60">
      <c r="A27" s="61" t="n"/>
      <c r="B27" s="95" t="inlineStr">
        <is>
          <t>미착수</t>
        </is>
      </c>
      <c r="C27" s="81">
        <f>COUNTIF('런칭 체크리스트'!G:G,B27)</f>
        <v/>
      </c>
      <c r="D27" s="93">
        <f>IF(COUNTA('런칭 체크리스트'!B5:B200)=0,0,C27/COUNTA('런칭 체크리스트'!B5:B200))</f>
        <v/>
      </c>
      <c r="E27" s="61" t="n"/>
      <c r="F27" s="61" t="n"/>
      <c r="G27" s="61" t="n"/>
    </row>
    <row r="28" ht="25.5" customHeight="1" s="60">
      <c r="A28" s="61" t="n"/>
      <c r="B28" s="96" t="inlineStr">
        <is>
          <t>블로킹</t>
        </is>
      </c>
      <c r="C28" s="81">
        <f>COUNTIF('런칭 체크리스트'!G:G,B28)</f>
        <v/>
      </c>
      <c r="D28" s="93">
        <f>IF(COUNTA('런칭 체크리스트'!B5:B200)=0,0,C28/COUNTA('런칭 체크리스트'!B5:B200))</f>
        <v/>
      </c>
      <c r="E28" s="61" t="n"/>
      <c r="F28" s="61" t="n"/>
      <c r="G28" s="61" t="n"/>
    </row>
    <row r="29" ht="25.5" customHeight="1" s="60">
      <c r="A29" s="61" t="n"/>
      <c r="B29" s="97" t="inlineStr">
        <is>
          <t>포기</t>
        </is>
      </c>
      <c r="C29" s="81">
        <f>COUNTIF('런칭 체크리스트'!G:G,B29)</f>
        <v/>
      </c>
      <c r="D29" s="93">
        <f>IF(COUNTA('런칭 체크리스트'!B5:B200)=0,0,C29/COUNTA('런칭 체크리스트'!B5:B200))</f>
        <v/>
      </c>
      <c r="E29" s="61" t="n"/>
      <c r="F29" s="61" t="n"/>
      <c r="G29" s="61" t="n"/>
    </row>
    <row r="30" ht="15" customHeight="1" s="60">
      <c r="A30" s="61" t="n"/>
      <c r="B30" s="61" t="n"/>
      <c r="C30" s="61" t="n"/>
      <c r="D30" s="61" t="n"/>
      <c r="E30" s="61" t="n"/>
      <c r="F30" s="61" t="n"/>
      <c r="G30" s="61" t="n"/>
    </row>
    <row r="31" ht="15" customHeight="1" s="60">
      <c r="A31" s="61" t="n"/>
      <c r="B31" s="61" t="n"/>
      <c r="C31" s="61" t="n"/>
      <c r="D31" s="61" t="n"/>
      <c r="E31" s="61" t="n"/>
      <c r="F31" s="61" t="n"/>
      <c r="G31" s="61" t="n"/>
    </row>
    <row r="32" ht="18.75" customHeight="1" s="60">
      <c r="A32" s="61" t="n"/>
      <c r="B32" s="98" t="inlineStr">
        <is>
          <t>Go / No-Go 자동 판정</t>
        </is>
      </c>
      <c r="C32" s="63" t="n"/>
      <c r="D32" s="63" t="n"/>
      <c r="E32" s="63" t="n"/>
      <c r="F32" s="63" t="n"/>
      <c r="G32" s="63" t="n"/>
    </row>
    <row r="33" ht="15" customHeight="1" s="60">
      <c r="A33" s="61" t="n"/>
      <c r="B33" s="79" t="inlineStr">
        <is>
          <t>판정</t>
        </is>
      </c>
      <c r="C33" s="99" t="inlineStr">
        <is>
          <t>조건</t>
        </is>
      </c>
      <c r="D33" s="100" t="n"/>
      <c r="E33" s="100" t="n"/>
      <c r="F33" s="100" t="n"/>
      <c r="G33" s="100" t="n"/>
    </row>
    <row r="34" ht="27.75" customHeight="1" s="60">
      <c r="A34" s="61" t="n"/>
      <c r="B34" s="101" t="inlineStr">
        <is>
          <t>GO</t>
        </is>
      </c>
      <c r="C34" s="102" t="inlineStr">
        <is>
          <t>[P0] 필수 100% 완료 + [P1] 중요 80% 이상 완료 + [P0] 필수 담당 미정 0건</t>
        </is>
      </c>
      <c r="D34" s="100" t="n"/>
      <c r="E34" s="100" t="n"/>
      <c r="F34" s="100" t="n"/>
      <c r="G34" s="100" t="n"/>
    </row>
    <row r="35" ht="27.75" customHeight="1" s="60">
      <c r="A35" s="61" t="n"/>
      <c r="B35" s="103" t="inlineStr">
        <is>
          <t>CONDITIONAL GO</t>
        </is>
      </c>
      <c r="C35" s="102" t="inlineStr">
        <is>
          <t>[P0] 필수 100% 완료 + [P1] 중요 60~80% 완료 + D+3 핫픽스 플랜 확보</t>
        </is>
      </c>
      <c r="D35" s="100" t="n"/>
      <c r="E35" s="100" t="n"/>
      <c r="F35" s="100" t="n"/>
      <c r="G35" s="100" t="n"/>
    </row>
    <row r="36" ht="27.75" customHeight="1" s="60">
      <c r="A36" s="61" t="n"/>
      <c r="B36" s="104" t="inlineStr">
        <is>
          <t>NO-GO</t>
        </is>
      </c>
      <c r="C36" s="102" t="inlineStr">
        <is>
          <t>[P0] 필수 미완료 건 존재 또는 결제/법적의무/스토어 심사 미충족</t>
        </is>
      </c>
      <c r="D36" s="100" t="n"/>
      <c r="E36" s="100" t="n"/>
      <c r="F36" s="100" t="n"/>
      <c r="G36" s="100" t="n"/>
    </row>
    <row r="37" ht="15" customHeight="1" s="60">
      <c r="A37" s="61" t="n"/>
      <c r="B37" s="61" t="n"/>
      <c r="C37" s="61" t="n"/>
      <c r="D37" s="61" t="n"/>
      <c r="E37" s="61" t="n"/>
      <c r="F37" s="61" t="n"/>
      <c r="G37" s="61" t="n"/>
    </row>
    <row r="38" ht="34.5" customHeight="1" s="60">
      <c r="A38" s="61" t="n"/>
      <c r="B38" s="105" t="inlineStr">
        <is>
          <t>현재 자동 판정:</t>
        </is>
      </c>
      <c r="C38" s="63" t="n"/>
      <c r="D38" s="106">
        <f>IF(AND(COUNTIF('런칭 체크리스트'!A:A,"[P0] 필수")=COUNTIFS('런칭 체크리스트'!A:A,"[P0] 필수",'런칭 체크리스트'!G:G,"완료"),COUNTIFS('런칭 체크리스트'!A:A,"[P0] 필수",'런칭 체크리스트'!D:D,"미정")=0,IF(COUNTIF('런칭 체크리스트'!A:A,"[P1] 중요")=0,TRUE(),COUNTIFS('런칭 체크리스트'!A:A,"[P1] 중요",'런칭 체크리스트'!G:G,"완료")/COUNTIF('런칭 체크리스트'!A:A,"[P1] 중요")&gt;=0.8)),"GO",IF(AND(COUNTIF('런칭 체크리스트'!A:A,"[P0] 필수")=COUNTIFS('런칭 체크리스트'!A:A,"[P0] 필수",'런칭 체크리스트'!G:G,"완료"),IF(COUNTIF('런칭 체크리스트'!A:A,"[P1] 중요")=0,TRUE(),COUNTIFS('런칭 체크리스트'!A:A,"[P1] 중요",'런칭 체크리스트'!G:G,"완료")/COUNTIF('런칭 체크리스트'!A:A,"[P1] 중요")&gt;=0.6)),"CONDITIONAL GO","NO-GO"))</f>
        <v/>
      </c>
      <c r="E38" s="63" t="n"/>
      <c r="F38" s="63" t="n"/>
      <c r="G38" s="63" t="n"/>
    </row>
    <row r="39" ht="15" customHeight="1" s="60">
      <c r="A39" s="61" t="n"/>
      <c r="B39" s="107" t="inlineStr">
        <is>
          <t>[P0] 필수 완료율:</t>
        </is>
      </c>
      <c r="C39" s="63" t="n"/>
      <c r="D39" s="108">
        <f>IF(COUNTIF('런칭 체크리스트'!A:A,"[P0] 필수")=0,0,COUNTIFS('런칭 체크리스트'!A:A,"[P0] 필수",'런칭 체크리스트'!G:G,"완료")/COUNTIF('런칭 체크리스트'!A:A,"[P0] 필수"))</f>
        <v/>
      </c>
      <c r="E39" s="63" t="n"/>
      <c r="F39" s="61" t="n"/>
      <c r="G39" s="61" t="n"/>
    </row>
    <row r="40" ht="15" customHeight="1" s="60">
      <c r="A40" s="61" t="n"/>
      <c r="B40" s="107" t="inlineStr">
        <is>
          <t>[P1] 중요 완료율:</t>
        </is>
      </c>
      <c r="C40" s="63" t="n"/>
      <c r="D40" s="108">
        <f>IF(COUNTIF('런칭 체크리스트'!A:A,"[P1] 중요")=0,0,COUNTIFS('런칭 체크리스트'!A:A,"[P1] 중요",'런칭 체크리스트'!G:G,"완료")/COUNTIF('런칭 체크리스트'!A:A,"[P1] 중요"))</f>
        <v/>
      </c>
      <c r="E40" s="63" t="n"/>
      <c r="F40" s="61" t="n"/>
      <c r="G40" s="61" t="n"/>
    </row>
  </sheetData>
  <mergeCells count="17">
    <mergeCell ref="B39:C39"/>
    <mergeCell ref="B2:G2"/>
    <mergeCell ref="C35:G35"/>
    <mergeCell ref="B38:C38"/>
    <mergeCell ref="C34:G34"/>
    <mergeCell ref="B23:G23"/>
    <mergeCell ref="C33:G33"/>
    <mergeCell ref="B1:G1"/>
    <mergeCell ref="B8:G8"/>
    <mergeCell ref="B32:G32"/>
    <mergeCell ref="B4:G4"/>
    <mergeCell ref="C36:G36"/>
    <mergeCell ref="D40:E40"/>
    <mergeCell ref="B40:C40"/>
    <mergeCell ref="D38:G38"/>
    <mergeCell ref="B15:G15"/>
    <mergeCell ref="D39:E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C0392B"/>
    <outlinePr summaryBelow="1" summaryRight="1"/>
    <pageSetUpPr fitToPage="0"/>
  </sheetPr>
  <dimension ref="A1:H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59" min="1" max="1"/>
    <col width="28" customWidth="1" style="59" min="2" max="2"/>
    <col width="42" customWidth="1" style="59" min="3" max="3"/>
    <col width="14" customWidth="1" style="59" min="4" max="4"/>
    <col width="24" customWidth="1" style="59" min="5" max="5"/>
    <col width="13" customWidth="1" style="59" min="6" max="6"/>
    <col width="10" customWidth="1" style="59" min="7" max="7"/>
    <col width="35" customWidth="1" style="59" min="8" max="8"/>
  </cols>
  <sheetData>
    <row r="1" ht="34.5" customHeight="1" s="60">
      <c r="A1" s="71" t="inlineStr">
        <is>
          <t>SSBL 런칭 체크리스트 — D-30 전시 모드</t>
        </is>
      </c>
      <c r="B1" s="63" t="n"/>
      <c r="C1" s="63" t="n"/>
      <c r="D1" s="63" t="n"/>
      <c r="E1" s="63" t="n"/>
      <c r="F1" s="63" t="n"/>
      <c r="G1" s="63" t="n"/>
      <c r="H1" s="63" t="n"/>
    </row>
    <row r="2" ht="13.5" customHeight="1" s="60">
      <c r="A2" s="72" t="inlineStr">
        <is>
          <t>최종 업데이트: 2026-02-24 | Tier→마감일 순 정렬 | 일일 점검 기준 문서</t>
        </is>
      </c>
      <c r="B2" s="63" t="n"/>
      <c r="C2" s="63" t="n"/>
      <c r="D2" s="63" t="n"/>
      <c r="E2" s="63" t="n"/>
      <c r="F2" s="63" t="n"/>
      <c r="G2" s="63" t="n"/>
      <c r="H2" s="63" t="n"/>
    </row>
    <row r="3" ht="15" customHeight="1" s="60">
      <c r="A3" s="61" t="n"/>
      <c r="B3" s="61" t="n"/>
      <c r="C3" s="61" t="n"/>
      <c r="D3" s="61" t="n"/>
      <c r="E3" s="61" t="n"/>
      <c r="F3" s="61" t="n"/>
      <c r="G3" s="61" t="n"/>
      <c r="H3" s="61" t="n"/>
    </row>
    <row r="4" ht="27.75" customHeight="1" s="60">
      <c r="A4" s="79" t="inlineStr">
        <is>
          <t>구분</t>
        </is>
      </c>
      <c r="B4" s="79" t="inlineStr">
        <is>
          <t>항목</t>
        </is>
      </c>
      <c r="C4" s="79" t="inlineStr">
        <is>
          <t>상세</t>
        </is>
      </c>
      <c r="D4" s="79" t="inlineStr">
        <is>
          <t>담당자</t>
        </is>
      </c>
      <c r="E4" s="79" t="inlineStr">
        <is>
          <t>블로커 (선행항목)</t>
        </is>
      </c>
      <c r="F4" s="79" t="inlineStr">
        <is>
          <t>마감일</t>
        </is>
      </c>
      <c r="G4" s="79" t="inlineStr">
        <is>
          <t>상태</t>
        </is>
      </c>
      <c r="H4" s="79" t="inlineStr">
        <is>
          <t>오늘의 이슈</t>
        </is>
      </c>
    </row>
    <row r="5" ht="31.5" customHeight="1" s="60">
      <c r="A5" s="109" t="inlineStr">
        <is>
          <t>[P0] 필수</t>
        </is>
      </c>
      <c r="B5" s="110" t="inlineStr">
        <is>
          <t>Apple App Store 심사 제출</t>
        </is>
      </c>
      <c r="C5" s="111" t="inlineStr">
        <is>
          <t>릴리즈 빌드 기반 심사 제출. 리젝 시 재심사 버퍼 확보</t>
        </is>
      </c>
      <c r="D5" s="112" t="n"/>
      <c r="E5" s="113" t="inlineStr">
        <is>
          <t>릴리즈 빌드 완성</t>
        </is>
      </c>
      <c r="F5" s="112" t="n"/>
      <c r="G5" s="114" t="inlineStr">
        <is>
          <t>미착수</t>
        </is>
      </c>
      <c r="H5" s="111" t="n"/>
    </row>
    <row r="6" ht="31.5" customHeight="1" s="60">
      <c r="A6" s="109" t="inlineStr">
        <is>
          <t>[P0] 필수</t>
        </is>
      </c>
      <c r="B6" s="110" t="inlineStr">
        <is>
          <t>Google Play Store 심사 제출</t>
        </is>
      </c>
      <c r="C6" s="111" t="inlineStr">
        <is>
          <t>콘텐츠 등급 설정 포함. 정책 위반 사전 체크</t>
        </is>
      </c>
      <c r="D6" s="112" t="n"/>
      <c r="E6" s="113" t="inlineStr">
        <is>
          <t>릴리즈 빌드 완성</t>
        </is>
      </c>
      <c r="F6" s="112" t="n"/>
      <c r="G6" s="114" t="inlineStr">
        <is>
          <t>미착수</t>
        </is>
      </c>
      <c r="H6" s="111" t="n"/>
    </row>
    <row r="7" ht="31.5" customHeight="1" s="60">
      <c r="A7" s="109" t="inlineStr">
        <is>
          <t>[P0] 필수</t>
        </is>
      </c>
      <c r="B7" s="110" t="inlineStr">
        <is>
          <t>Release 빌드 생성 및 검증</t>
        </is>
      </c>
      <c r="C7" s="111" t="inlineStr">
        <is>
          <t>디버그 코드 제거, 난독화, ProGuard/R8 적용</t>
        </is>
      </c>
      <c r="D7" s="112" t="n"/>
      <c r="E7" s="113" t="inlineStr">
        <is>
          <t>크리티컬 버그 픽스</t>
        </is>
      </c>
      <c r="F7" s="112" t="n"/>
      <c r="G7" s="114" t="inlineStr">
        <is>
          <t>미착수</t>
        </is>
      </c>
      <c r="H7" s="111" t="n"/>
    </row>
    <row r="8" ht="31.5" customHeight="1" s="60">
      <c r="A8" s="109" t="inlineStr">
        <is>
          <t>[P0] 필수</t>
        </is>
      </c>
      <c r="B8" s="115" t="inlineStr">
        <is>
          <t>프로덕션 서버 구축 및 가동</t>
        </is>
      </c>
      <c r="C8" s="111" t="inlineStr">
        <is>
          <t>오토스케일링, CDN, 프로덕션 DB 세팅</t>
        </is>
      </c>
      <c r="D8" s="112" t="n"/>
      <c r="E8" s="113" t="n"/>
      <c r="F8" s="112" t="n"/>
      <c r="G8" s="114" t="inlineStr">
        <is>
          <t>미착수</t>
        </is>
      </c>
      <c r="H8" s="111" t="n"/>
    </row>
    <row r="9" ht="31.5" customHeight="1" s="60">
      <c r="A9" s="109" t="inlineStr">
        <is>
          <t>[P0] 필수</t>
        </is>
      </c>
      <c r="B9" s="115" t="inlineStr">
        <is>
          <t>서버 부하 테스트</t>
        </is>
      </c>
      <c r="C9" s="111" t="inlineStr">
        <is>
          <t>목표 CCU 대비 150% 부하 테스트. 병목 해소</t>
        </is>
      </c>
      <c r="D9" s="112" t="n"/>
      <c r="E9" s="113" t="inlineStr">
        <is>
          <t>프로덕션 서버 구축</t>
        </is>
      </c>
      <c r="F9" s="112" t="n"/>
      <c r="G9" s="114" t="inlineStr">
        <is>
          <t>미착수</t>
        </is>
      </c>
      <c r="H9" s="111" t="n"/>
    </row>
    <row r="10" ht="31.5" customHeight="1" s="60">
      <c r="A10" s="109" t="inlineStr">
        <is>
          <t>[P0] 필수</t>
        </is>
      </c>
      <c r="B10" s="110" t="inlineStr">
        <is>
          <t>Apple IAP 상품 등록 및 검증</t>
        </is>
      </c>
      <c r="C10" s="116" t="inlineStr">
        <is>
          <t>App Store Connect 전 상품 등록. Sandbox 결제 테스트</t>
        </is>
      </c>
      <c r="D10" s="112" t="n"/>
      <c r="E10" s="113" t="n"/>
      <c r="F10" s="112" t="n"/>
      <c r="G10" s="114" t="inlineStr">
        <is>
          <t>미착수</t>
        </is>
      </c>
      <c r="H10" s="111" t="n"/>
    </row>
    <row r="11" ht="31.5" customHeight="1" s="60">
      <c r="A11" s="109" t="inlineStr">
        <is>
          <t>[P0] 필수</t>
        </is>
      </c>
      <c r="B11" s="110" t="inlineStr">
        <is>
          <t>Google Play Billing 상품 등록 및 검증</t>
        </is>
      </c>
      <c r="C11" s="116" t="inlineStr">
        <is>
          <t>Play Console 전 상품 등록. 테스트 결제 검증</t>
        </is>
      </c>
      <c r="D11" s="112" t="n"/>
      <c r="E11" s="113" t="n"/>
      <c r="F11" s="112" t="n"/>
      <c r="G11" s="114" t="inlineStr">
        <is>
          <t>미착수</t>
        </is>
      </c>
      <c r="H11" s="111" t="n"/>
    </row>
    <row r="12" ht="31.5" customHeight="1" s="60">
      <c r="A12" s="109" t="inlineStr">
        <is>
          <t>[P0] 필수</t>
        </is>
      </c>
      <c r="B12" s="115" t="inlineStr">
        <is>
          <t>영수증 검증 서버</t>
        </is>
      </c>
      <c r="C12" s="116" t="inlineStr">
        <is>
          <t>Apple/Google 서버사이드 영수증 검증. 위변조 방지</t>
        </is>
      </c>
      <c r="D12" s="112" t="n"/>
      <c r="E12" s="113" t="inlineStr">
        <is>
          <t>프로덕션 서버 구축</t>
        </is>
      </c>
      <c r="F12" s="112" t="n"/>
      <c r="G12" s="114" t="inlineStr">
        <is>
          <t>미착수</t>
        </is>
      </c>
      <c r="H12" s="111" t="n"/>
    </row>
    <row r="13" ht="31.5" customHeight="1" s="60">
      <c r="A13" s="109" t="inlineStr">
        <is>
          <t>[P0] 필수</t>
        </is>
      </c>
      <c r="B13" s="115" t="inlineStr">
        <is>
          <t>결제 실패 시 복구 로직</t>
        </is>
      </c>
      <c r="C13" s="111" t="inlineStr">
        <is>
          <t>결제 성공→지급 실패 시 재지급 로직. 재화 유실 방지</t>
        </is>
      </c>
      <c r="D13" s="112" t="n"/>
      <c r="E13" s="113" t="inlineStr">
        <is>
          <t>영수증 검증 서버</t>
        </is>
      </c>
      <c r="F13" s="112" t="n"/>
      <c r="G13" s="114" t="inlineStr">
        <is>
          <t>미착수</t>
        </is>
      </c>
      <c r="H13" s="111" t="n"/>
    </row>
    <row r="14" ht="31.5" customHeight="1" s="60">
      <c r="A14" s="109" t="inlineStr">
        <is>
          <t>[P0] 필수</t>
        </is>
      </c>
      <c r="B14" s="115" t="inlineStr">
        <is>
          <t>확률형 아이템 확률 공시 페이지</t>
        </is>
      </c>
      <c r="C14" s="111" t="inlineStr">
        <is>
          <t>게임산업법 의무. 가챠 확률 공시 웹페이지</t>
        </is>
      </c>
      <c r="D14" s="112" t="n"/>
      <c r="E14" s="113" t="inlineStr">
        <is>
          <t>가챠 확률 테이블 확정</t>
        </is>
      </c>
      <c r="F14" s="112" t="n"/>
      <c r="G14" s="114" t="inlineStr">
        <is>
          <t>미착수</t>
        </is>
      </c>
      <c r="H14" s="111" t="n"/>
    </row>
    <row r="15" ht="31.5" customHeight="1" s="60">
      <c r="A15" s="109" t="inlineStr">
        <is>
          <t>[P0] 필수</t>
        </is>
      </c>
      <c r="B15" s="115" t="inlineStr">
        <is>
          <t>이용약관 / 개인정보처리방침</t>
        </is>
      </c>
      <c r="C15" s="111" t="inlineStr">
        <is>
          <t>법무 검토 완료된 다국어 약관. GDPR/CCPA 대응</t>
        </is>
      </c>
      <c r="D15" s="112" t="n"/>
      <c r="E15" s="113" t="n"/>
      <c r="F15" s="112" t="n"/>
      <c r="G15" s="114" t="inlineStr">
        <is>
          <t>미착수</t>
        </is>
      </c>
      <c r="H15" s="111" t="n"/>
    </row>
    <row r="16" ht="31.5" customHeight="1" s="60">
      <c r="A16" s="109" t="inlineStr">
        <is>
          <t>[P0] 필수</t>
        </is>
      </c>
      <c r="B16" s="115" t="inlineStr">
        <is>
          <t>연령 등급 심사 (GRAC)</t>
        </is>
      </c>
      <c r="C16" s="111" t="inlineStr">
        <is>
          <t>게임물관리위원회 등급 분류 필수</t>
        </is>
      </c>
      <c r="D16" s="112" t="n"/>
      <c r="E16" s="113" t="n"/>
      <c r="F16" s="112" t="n"/>
      <c r="G16" s="114" t="inlineStr">
        <is>
          <t>미착수</t>
        </is>
      </c>
      <c r="H16" s="111" t="n"/>
    </row>
    <row r="17" ht="31.5" customHeight="1" s="60">
      <c r="A17" s="109" t="inlineStr">
        <is>
          <t>[P0] 필수</t>
        </is>
      </c>
      <c r="B17" s="115" t="inlineStr">
        <is>
          <t>음원 라이선스 계약 확인</t>
        </is>
      </c>
      <c r="C17" s="111" t="inlineStr">
        <is>
          <t>수록곡 전곡 디지털 사용 라이선스 확보 확인</t>
        </is>
      </c>
      <c r="D17" s="112" t="n"/>
      <c r="E17" s="113" t="n"/>
      <c r="F17" s="112" t="n"/>
      <c r="G17" s="114" t="inlineStr">
        <is>
          <t>미착수</t>
        </is>
      </c>
      <c r="H17" s="111" t="n"/>
    </row>
    <row r="18" ht="31.5" customHeight="1" s="60">
      <c r="A18" s="109" t="inlineStr">
        <is>
          <t>[P0] 필수</t>
        </is>
      </c>
      <c r="B18" s="115" t="inlineStr">
        <is>
          <t>초상권/퍼블리시티권 계약 확인</t>
        </is>
      </c>
      <c r="C18" s="116" t="inlineStr">
        <is>
          <t>TAEYANG, JEON SOMI, MEOVV, ADP 이미지 사용 계약</t>
        </is>
      </c>
      <c r="D18" s="112" t="n"/>
      <c r="E18" s="113" t="n"/>
      <c r="F18" s="112" t="n"/>
      <c r="G18" s="114" t="inlineStr">
        <is>
          <t>미착수</t>
        </is>
      </c>
      <c r="H18" s="111" t="n"/>
    </row>
    <row r="19" ht="31.5" customHeight="1" s="60">
      <c r="A19" s="109" t="inlineStr">
        <is>
          <t>[P0] 필수</t>
        </is>
      </c>
      <c r="B19" s="115" t="inlineStr">
        <is>
          <t>가챠 확률 테이블 확정</t>
        </is>
      </c>
      <c r="C19" s="111" t="inlineStr">
        <is>
          <t>등급별 확률, 천장(Pity), 픽업 확률 최종 확정</t>
        </is>
      </c>
      <c r="D19" s="112" t="n"/>
      <c r="E19" s="113" t="n"/>
      <c r="F19" s="112" t="n"/>
      <c r="G19" s="114" t="inlineStr">
        <is>
          <t>미착수</t>
        </is>
      </c>
      <c r="H19" s="111" t="n"/>
    </row>
    <row r="20" ht="31.5" customHeight="1" s="60">
      <c r="A20" s="109" t="inlineStr">
        <is>
          <t>[P0] 필수</t>
        </is>
      </c>
      <c r="B20" s="115" t="inlineStr">
        <is>
          <t>상점 상품 구성 확정</t>
        </is>
      </c>
      <c r="C20" s="116" t="inlineStr">
        <is>
          <t>IAP 상품 목록, 가격 구간, 재화 구성 확정</t>
        </is>
      </c>
      <c r="D20" s="112" t="n"/>
      <c r="E20" s="113" t="n"/>
      <c r="F20" s="112" t="n"/>
      <c r="G20" s="114" t="inlineStr">
        <is>
          <t>미착수</t>
        </is>
      </c>
      <c r="H20" s="111" t="n"/>
    </row>
    <row r="21" ht="31.5" customHeight="1" s="60">
      <c r="A21" s="109" t="inlineStr">
        <is>
          <t>[P0] 필수</t>
        </is>
      </c>
      <c r="B21" s="115" t="inlineStr">
        <is>
          <t>미성년자 결제 한도 시스템</t>
        </is>
      </c>
      <c r="C21" s="111" t="inlineStr">
        <is>
          <t>청소년 보호법 기반 월 결제 한도 제한</t>
        </is>
      </c>
      <c r="D21" s="112" t="n"/>
      <c r="E21" s="113" t="inlineStr">
        <is>
          <t>영수증 검증 서버</t>
        </is>
      </c>
      <c r="F21" s="112" t="n"/>
      <c r="G21" s="114" t="inlineStr">
        <is>
          <t>미착수</t>
        </is>
      </c>
      <c r="H21" s="111" t="n"/>
    </row>
    <row r="22" ht="31.5" customHeight="1" s="60">
      <c r="A22" s="109" t="inlineStr">
        <is>
          <t>[P0] 필수</t>
        </is>
      </c>
      <c r="B22" s="115" t="inlineStr">
        <is>
          <t>계정 연동/복구 프로세스</t>
        </is>
      </c>
      <c r="C22" s="111" t="inlineStr">
        <is>
          <t>게스트→SNS 연동, 계정 분실 시 복구 절차</t>
        </is>
      </c>
      <c r="D22" s="112" t="n"/>
      <c r="E22" s="113" t="n"/>
      <c r="F22" s="112" t="n"/>
      <c r="G22" s="114" t="inlineStr">
        <is>
          <t>미착수</t>
        </is>
      </c>
      <c r="H22" s="111" t="n"/>
    </row>
    <row r="23" ht="31.5" customHeight="1" s="60">
      <c r="A23" s="109" t="inlineStr">
        <is>
          <t>[P0] 필수</t>
        </is>
      </c>
      <c r="B23" s="115" t="inlineStr">
        <is>
          <t>점검 모드 (Maintenance) 시스템</t>
        </is>
      </c>
      <c r="C23" s="111" t="inlineStr">
        <is>
          <t>긴급 점검 시 클라이언트 접속 차단 및 안내</t>
        </is>
      </c>
      <c r="D23" s="112" t="n"/>
      <c r="E23" s="113" t="inlineStr">
        <is>
          <t>프로덕션 서버 구축</t>
        </is>
      </c>
      <c r="F23" s="112" t="n"/>
      <c r="G23" s="114" t="inlineStr">
        <is>
          <t>미착수</t>
        </is>
      </c>
      <c r="H23" s="111" t="n"/>
    </row>
    <row r="24" ht="31.5" customHeight="1" s="60">
      <c r="A24" s="109" t="inlineStr">
        <is>
          <t>[P0] 필수</t>
        </is>
      </c>
      <c r="B24" s="115" t="inlineStr">
        <is>
          <t>사전등록 → 정식 전환 및 보상 지급</t>
        </is>
      </c>
      <c r="C24" s="111" t="inlineStr">
        <is>
          <t>사전등록 유저 보상 자동 지급 시스템</t>
        </is>
      </c>
      <c r="D24" s="112" t="n"/>
      <c r="E24" s="113" t="inlineStr">
        <is>
          <t>프로덕션 서버 구축</t>
        </is>
      </c>
      <c r="F24" s="112" t="n"/>
      <c r="G24" s="114" t="inlineStr">
        <is>
          <t>미착수</t>
        </is>
      </c>
      <c r="H24" s="111" t="n"/>
    </row>
    <row r="25" ht="31.5" customHeight="1" s="60">
      <c r="A25" s="109" t="inlineStr">
        <is>
          <t>[P0] 필수</t>
        </is>
      </c>
      <c r="B25" s="115" t="inlineStr">
        <is>
          <t>스토어 페이지 에셋</t>
        </is>
      </c>
      <c r="C25" s="111" t="inlineStr">
        <is>
          <t>스크린샷, 프리뷰 영상, 아이콘, 피쳐 그래픽</t>
        </is>
      </c>
      <c r="D25" s="112" t="n"/>
      <c r="E25" s="113" t="n"/>
      <c r="F25" s="112" t="n"/>
      <c r="G25" s="114" t="inlineStr">
        <is>
          <t>미착수</t>
        </is>
      </c>
      <c r="H25" s="111" t="n"/>
    </row>
    <row r="26" ht="31.5" customHeight="1" s="60">
      <c r="A26" s="117" t="inlineStr">
        <is>
          <t>[P1] 중요</t>
        </is>
      </c>
      <c r="B26" s="115" t="inlineStr">
        <is>
          <t>튜토리얼 플로우 완성도 검증</t>
        </is>
      </c>
      <c r="C26" s="116" t="inlineStr">
        <is>
          <t>FTUE 전체 플로우 이탈 포인트 검증. 신규 유저 첫 경험</t>
        </is>
      </c>
      <c r="D26" s="112" t="n"/>
      <c r="E26" s="113" t="n"/>
      <c r="F26" s="112" t="n"/>
      <c r="G26" s="114" t="inlineStr">
        <is>
          <t>미착수</t>
        </is>
      </c>
      <c r="H26" s="111" t="n"/>
    </row>
    <row r="27" ht="31.5" customHeight="1" s="60">
      <c r="A27" s="117" t="inlineStr">
        <is>
          <t>[P1] 중요</t>
        </is>
      </c>
      <c r="B27" s="115" t="inlineStr">
        <is>
          <t>리듬게임 노트 싱크 검증</t>
        </is>
      </c>
      <c r="C27" s="111" t="inlineStr">
        <is>
          <t>전 수록곡 노트 타이밍/판정 검증. 디바이스별 레이턴시</t>
        </is>
      </c>
      <c r="D27" s="112" t="n"/>
      <c r="E27" s="113" t="n"/>
      <c r="F27" s="112" t="n"/>
      <c r="G27" s="114" t="inlineStr">
        <is>
          <t>미착수</t>
        </is>
      </c>
      <c r="H27" s="111" t="n"/>
    </row>
    <row r="28" ht="31.5" customHeight="1" s="60">
      <c r="A28" s="117" t="inlineStr">
        <is>
          <t>[P1] 중요</t>
        </is>
      </c>
      <c r="B28" s="115" t="inlineStr">
        <is>
          <t>크리티컬 버그 픽스</t>
        </is>
      </c>
      <c r="C28" s="116" t="inlineStr">
        <is>
          <t>Crash, ANR, 데이터 유실 등 치명적 버그 전수 수정</t>
        </is>
      </c>
      <c r="D28" s="112" t="n"/>
      <c r="E28" s="113" t="n"/>
      <c r="F28" s="112" t="n"/>
      <c r="G28" s="114" t="inlineStr">
        <is>
          <t>미착수</t>
        </is>
      </c>
      <c r="H28" s="111" t="inlineStr">
        <is>
          <t>크래시율 목표 &lt;0.5%</t>
        </is>
      </c>
    </row>
    <row r="29" ht="31.5" customHeight="1" s="60">
      <c r="A29" s="117" t="inlineStr">
        <is>
          <t>[P1] 중요</t>
        </is>
      </c>
      <c r="B29" s="115" t="inlineStr">
        <is>
          <t>네트워크 예외 처리</t>
        </is>
      </c>
      <c r="C29" s="111" t="inlineStr">
        <is>
          <t>약한 네트워크, 끊김, Wi-Fi↔LTE 전환 시 안정성</t>
        </is>
      </c>
      <c r="D29" s="112" t="n"/>
      <c r="E29" s="113" t="n"/>
      <c r="F29" s="112" t="n"/>
      <c r="G29" s="114" t="inlineStr">
        <is>
          <t>미착수</t>
        </is>
      </c>
      <c r="H29" s="111" t="n"/>
    </row>
    <row r="30" ht="31.5" customHeight="1" s="60">
      <c r="A30" s="117" t="inlineStr">
        <is>
          <t>[P1] 중요</t>
        </is>
      </c>
      <c r="B30" s="115" t="inlineStr">
        <is>
          <t>런칭 수록곡 리스트 확정 및 비트맵 완성</t>
        </is>
      </c>
      <c r="C30" s="111" t="inlineStr">
        <is>
          <t>전 수록곡 난이도별 비트맵 제작/검수 완료</t>
        </is>
      </c>
      <c r="D30" s="112" t="n"/>
      <c r="E30" s="113" t="inlineStr">
        <is>
          <t>음원 라이선스 계약</t>
        </is>
      </c>
      <c r="F30" s="112" t="n"/>
      <c r="G30" s="114" t="inlineStr">
        <is>
          <t>미착수</t>
        </is>
      </c>
      <c r="H30" s="111" t="n"/>
    </row>
    <row r="31" ht="31.5" customHeight="1" s="60">
      <c r="A31" s="117" t="inlineStr">
        <is>
          <t>[P1] 중요</t>
        </is>
      </c>
      <c r="B31" s="115" t="inlineStr">
        <is>
          <t>카드 밸런스 테이블 확정</t>
        </is>
      </c>
      <c r="C31" s="111" t="inlineStr">
        <is>
          <t>전체 카드 스탯, 스킬, 성장 밸런스 최종 확정</t>
        </is>
      </c>
      <c r="D31" s="112" t="n"/>
      <c r="E31" s="113" t="n"/>
      <c r="F31" s="112" t="n"/>
      <c r="G31" s="114" t="inlineStr">
        <is>
          <t>미착수</t>
        </is>
      </c>
      <c r="H31" s="111" t="n"/>
    </row>
    <row r="32" ht="31.5" customHeight="1" s="60">
      <c r="A32" s="117" t="inlineStr">
        <is>
          <t>[P1] 중요</t>
        </is>
      </c>
      <c r="B32" s="115" t="inlineStr">
        <is>
          <t>아티스트별 카드 아트 완성</t>
        </is>
      </c>
      <c r="C32" s="116" t="inlineStr">
        <is>
          <t>TAEYANG, JEON SOMI, MEOVV, ADP 전 등급 카드 아트</t>
        </is>
      </c>
      <c r="D32" s="112" t="n"/>
      <c r="E32" s="113" t="n"/>
      <c r="F32" s="112" t="n"/>
      <c r="G32" s="114" t="inlineStr">
        <is>
          <t>미착수</t>
        </is>
      </c>
      <c r="H32" s="111" t="n"/>
    </row>
    <row r="33" ht="31.5" customHeight="1" s="60">
      <c r="A33" s="117" t="inlineStr">
        <is>
          <t>[P1] 중요</t>
        </is>
      </c>
      <c r="B33" s="115" t="inlineStr">
        <is>
          <t>다국어 텍스트 검증</t>
        </is>
      </c>
      <c r="C33" s="111" t="inlineStr">
        <is>
          <t>번역 누락, 오역, UI 오버플로우 전수 검사</t>
        </is>
      </c>
      <c r="D33" s="112" t="n"/>
      <c r="E33" s="113" t="inlineStr">
        <is>
          <t>번역 대상 언어 확정</t>
        </is>
      </c>
      <c r="F33" s="112" t="n"/>
      <c r="G33" s="114" t="inlineStr">
        <is>
          <t>미착수</t>
        </is>
      </c>
      <c r="H33" s="111" t="n"/>
    </row>
    <row r="34" ht="31.5" customHeight="1" s="60">
      <c r="A34" s="117" t="inlineStr">
        <is>
          <t>[P1] 중요</t>
        </is>
      </c>
      <c r="B34" s="115" t="inlineStr">
        <is>
          <t>번역 대상 언어 확정 및 번역 완료</t>
        </is>
      </c>
      <c r="C34" s="111" t="inlineStr">
        <is>
          <t>런칭 시 지원 언어 확정, 전체 텍스트 번역</t>
        </is>
      </c>
      <c r="D34" s="112" t="n"/>
      <c r="E34" s="113" t="n"/>
      <c r="F34" s="112" t="n"/>
      <c r="G34" s="114" t="inlineStr">
        <is>
          <t>미착수</t>
        </is>
      </c>
      <c r="H34" s="111" t="n"/>
    </row>
    <row r="35" ht="31.5" customHeight="1" s="60">
      <c r="A35" s="117" t="inlineStr">
        <is>
          <t>[P1] 중요</t>
        </is>
      </c>
      <c r="B35" s="115" t="inlineStr">
        <is>
          <t>런칭 이벤트 기획 및 세팅</t>
        </is>
      </c>
      <c r="C35" s="111" t="inlineStr">
        <is>
          <t>런칭 보상, 출석 이벤트, 미션 이벤트 데이터 세팅</t>
        </is>
      </c>
      <c r="D35" s="112" t="n"/>
      <c r="E35" s="113" t="inlineStr">
        <is>
          <t>달콤허브 운영툴</t>
        </is>
      </c>
      <c r="F35" s="112" t="n"/>
      <c r="G35" s="114" t="inlineStr">
        <is>
          <t>미착수</t>
        </is>
      </c>
      <c r="H35" s="111" t="n"/>
    </row>
    <row r="36" ht="31.5" customHeight="1" s="60">
      <c r="A36" s="117" t="inlineStr">
        <is>
          <t>[P1] 중요</t>
        </is>
      </c>
      <c r="B36" s="115" t="inlineStr">
        <is>
          <t>달콤허브 운영툴 세팅</t>
        </is>
      </c>
      <c r="C36" s="111" t="inlineStr">
        <is>
          <t>게임 운영 관리 시스템 전체 기능 세팅 및 검증</t>
        </is>
      </c>
      <c r="D36" s="112" t="n"/>
      <c r="E36" s="113" t="inlineStr">
        <is>
          <t>프로덕션 서버 구축</t>
        </is>
      </c>
      <c r="F36" s="112" t="n"/>
      <c r="G36" s="114" t="inlineStr">
        <is>
          <t>미착수</t>
        </is>
      </c>
      <c r="H36" s="111" t="n"/>
    </row>
    <row r="37" ht="31.5" customHeight="1" s="60">
      <c r="A37" s="117" t="inlineStr">
        <is>
          <t>[P1] 중요</t>
        </is>
      </c>
      <c r="B37" s="115" t="inlineStr">
        <is>
          <t>공지사항/메일 발송 시스템</t>
        </is>
      </c>
      <c r="C37" s="111" t="inlineStr">
        <is>
          <t>인게임 공지, 우편함 보상 발송 시스템 검증</t>
        </is>
      </c>
      <c r="D37" s="112" t="n"/>
      <c r="E37" s="113" t="inlineStr">
        <is>
          <t>달콤허브 운영툴</t>
        </is>
      </c>
      <c r="F37" s="112" t="n"/>
      <c r="G37" s="114" t="inlineStr">
        <is>
          <t>미착수</t>
        </is>
      </c>
      <c r="H37" s="111" t="n"/>
    </row>
    <row r="38" ht="31.5" customHeight="1" s="60">
      <c r="A38" s="117" t="inlineStr">
        <is>
          <t>[P1] 중요</t>
        </is>
      </c>
      <c r="B38" s="115" t="inlineStr">
        <is>
          <t>달콤툴즈 세팅</t>
        </is>
      </c>
      <c r="C38" s="111" t="inlineStr">
        <is>
          <t>아트 리소스 관리 시스템 연동 및 검증</t>
        </is>
      </c>
      <c r="D38" s="112" t="n"/>
      <c r="E38" s="113" t="n"/>
      <c r="F38" s="112" t="n"/>
      <c r="G38" s="114" t="inlineStr">
        <is>
          <t>미착수</t>
        </is>
      </c>
      <c r="H38" s="111" t="n"/>
    </row>
    <row r="39" ht="31.5" customHeight="1" s="60">
      <c r="A39" s="117" t="inlineStr">
        <is>
          <t>[P1] 중요</t>
        </is>
      </c>
      <c r="B39" s="115" t="inlineStr">
        <is>
          <t>런칭 마케팅 플랜 확정 및 집행 준비</t>
        </is>
      </c>
      <c r="C39" s="116" t="inlineStr">
        <is>
          <t>UA 캠페인, 크리에이티브, 예산, 매체 플랜</t>
        </is>
      </c>
      <c r="D39" s="112" t="n"/>
      <c r="E39" s="113" t="n"/>
      <c r="F39" s="112" t="n"/>
      <c r="G39" s="114" t="inlineStr">
        <is>
          <t>미착수</t>
        </is>
      </c>
      <c r="H39" s="111" t="n"/>
    </row>
    <row r="40" ht="31.5" customHeight="1" s="60">
      <c r="A40" s="117" t="inlineStr">
        <is>
          <t>[P1] 중요</t>
        </is>
      </c>
      <c r="B40" s="115" t="inlineStr">
        <is>
          <t>사전등록 캠페인 현황 관리</t>
        </is>
      </c>
      <c r="C40" s="111" t="inlineStr">
        <is>
          <t>사전등록 목표 달성 현황, 보상 단계</t>
        </is>
      </c>
      <c r="D40" s="112" t="n"/>
      <c r="E40" s="113" t="n"/>
      <c r="F40" s="112" t="n"/>
      <c r="G40" s="114" t="inlineStr">
        <is>
          <t>미착수</t>
        </is>
      </c>
      <c r="H40" s="111" t="n"/>
    </row>
    <row r="41" ht="31.5" customHeight="1" s="60">
      <c r="A41" s="117" t="inlineStr">
        <is>
          <t>[P1] 중요</t>
        </is>
      </c>
      <c r="B41" s="115" t="inlineStr">
        <is>
          <t>트래킹 시스템 (MMP) 세팅</t>
        </is>
      </c>
      <c r="C41" s="116" t="inlineStr">
        <is>
          <t>Adjust/AppsFlyer 어트리뷰션 트래킹</t>
        </is>
      </c>
      <c r="D41" s="112" t="n"/>
      <c r="E41" s="113" t="n"/>
      <c r="F41" s="112" t="n"/>
      <c r="G41" s="114" t="inlineStr">
        <is>
          <t>미착수</t>
        </is>
      </c>
      <c r="H41" s="111" t="n"/>
    </row>
    <row r="42" ht="31.5" customHeight="1" s="60">
      <c r="A42" s="117" t="inlineStr">
        <is>
          <t>[P1] 중요</t>
        </is>
      </c>
      <c r="B42" s="115" t="inlineStr">
        <is>
          <t>핵심 KPI 이벤트 로깅</t>
        </is>
      </c>
      <c r="C42" s="116" t="inlineStr">
        <is>
          <t>FTUE, 결제, 레벨업, 가챠 등 핵심 이벤트 로깅</t>
        </is>
      </c>
      <c r="D42" s="112" t="n"/>
      <c r="E42" s="113" t="inlineStr">
        <is>
          <t>프로덕션 서버 구축</t>
        </is>
      </c>
      <c r="F42" s="112" t="n"/>
      <c r="G42" s="114" t="inlineStr">
        <is>
          <t>미착수</t>
        </is>
      </c>
      <c r="H42" s="116" t="inlineStr">
        <is>
          <t>DB 로깅 스키마 연동</t>
        </is>
      </c>
    </row>
    <row r="43" ht="31.5" customHeight="1" s="60">
      <c r="A43" s="117" t="inlineStr">
        <is>
          <t>[P1] 중요</t>
        </is>
      </c>
      <c r="B43" s="110" t="inlineStr">
        <is>
          <t>CS 응대 매뉴얼 작성</t>
        </is>
      </c>
      <c r="C43" s="111" t="inlineStr">
        <is>
          <t>주요 문의 유형별 응대 스크립트, 에스컬레이션 프로세스</t>
        </is>
      </c>
      <c r="D43" s="112" t="n"/>
      <c r="E43" s="113" t="n"/>
      <c r="F43" s="112" t="n"/>
      <c r="G43" s="114" t="inlineStr">
        <is>
          <t>미착수</t>
        </is>
      </c>
      <c r="H43" s="111" t="n"/>
    </row>
    <row r="44" ht="31.5" customHeight="1" s="60">
      <c r="A44" s="117" t="inlineStr">
        <is>
          <t>[P1] 중요</t>
        </is>
      </c>
      <c r="B44" s="110" t="inlineStr">
        <is>
          <t>CS 인력 확보 및 교육</t>
        </is>
      </c>
      <c r="C44" s="111" t="inlineStr">
        <is>
          <t>런칭 시 CS 인력 배치, 게임 이해 교육 완료</t>
        </is>
      </c>
      <c r="D44" s="112" t="n"/>
      <c r="E44" s="118" t="inlineStr">
        <is>
          <t>CS 응대 매뉴얼</t>
        </is>
      </c>
      <c r="F44" s="112" t="n"/>
      <c r="G44" s="114" t="inlineStr">
        <is>
          <t>미착수</t>
        </is>
      </c>
      <c r="H44" s="111" t="n"/>
    </row>
    <row r="45" ht="31.5" customHeight="1" s="60">
      <c r="A45" s="117" t="inlineStr">
        <is>
          <t>[P1] 중요</t>
        </is>
      </c>
      <c r="B45" s="115" t="inlineStr">
        <is>
          <t>클라이언트 보안 솔루션 적용</t>
        </is>
      </c>
      <c r="C45" s="116" t="inlineStr">
        <is>
          <t>Anti-Cheat, 루팅/탈옥 탐지, 메모리 변조 방지</t>
        </is>
      </c>
      <c r="D45" s="112" t="n"/>
      <c r="E45" s="113" t="n"/>
      <c r="F45" s="112" t="n"/>
      <c r="G45" s="114" t="inlineStr">
        <is>
          <t>미착수</t>
        </is>
      </c>
      <c r="H45" s="111" t="n"/>
    </row>
    <row r="46" ht="31.5" customHeight="1" s="60">
      <c r="A46" s="117" t="inlineStr">
        <is>
          <t>[P1] 중요</t>
        </is>
      </c>
      <c r="B46" s="110" t="inlineStr">
        <is>
          <t>API 보안 (인증/암호화)</t>
        </is>
      </c>
      <c r="C46" s="116" t="inlineStr">
        <is>
          <t>API 토큰 인증, SSL/TLS, 요청 검증</t>
        </is>
      </c>
      <c r="D46" s="112" t="n"/>
      <c r="E46" s="113" t="n"/>
      <c r="F46" s="112" t="n"/>
      <c r="G46" s="114" t="inlineStr">
        <is>
          <t>미착수</t>
        </is>
      </c>
      <c r="H46" s="111" t="n"/>
    </row>
    <row r="47" ht="31.5" customHeight="1" s="60">
      <c r="A47" s="117" t="inlineStr">
        <is>
          <t>[P1] 중요</t>
        </is>
      </c>
      <c r="B47" s="115" t="inlineStr">
        <is>
          <t>서버 모니터링 시스템</t>
        </is>
      </c>
      <c r="C47" s="116" t="inlineStr">
        <is>
          <t>Grafana/Prometheus 실시간 모니터링, 알림 설정</t>
        </is>
      </c>
      <c r="D47" s="112" t="n"/>
      <c r="E47" s="113" t="inlineStr">
        <is>
          <t>프로덕션 서버 구축</t>
        </is>
      </c>
      <c r="F47" s="112" t="n"/>
      <c r="G47" s="114" t="inlineStr">
        <is>
          <t>미착수</t>
        </is>
      </c>
      <c r="H47" s="111" t="n"/>
    </row>
    <row r="48" ht="31.5" customHeight="1" s="60">
      <c r="A48" s="117" t="inlineStr">
        <is>
          <t>[P1] 중요</t>
        </is>
      </c>
      <c r="B48" s="115" t="inlineStr">
        <is>
          <t>장애 대응 플레이북</t>
        </is>
      </c>
      <c r="C48" s="111" t="inlineStr">
        <is>
          <t>서버 다운, DB 장애, CDN 장애 시나리오별 매뉴얼</t>
        </is>
      </c>
      <c r="D48" s="112" t="n"/>
      <c r="E48" s="113" t="n"/>
      <c r="F48" s="112" t="n"/>
      <c r="G48" s="114" t="inlineStr">
        <is>
          <t>미착수</t>
        </is>
      </c>
      <c r="H48" s="111" t="n"/>
    </row>
    <row r="49" ht="31.5" customHeight="1" s="60">
      <c r="A49" s="117" t="inlineStr">
        <is>
          <t>[P1] 중요</t>
        </is>
      </c>
      <c r="B49" s="115" t="inlineStr">
        <is>
          <t>롤백 계획 수립 및 테스트</t>
        </is>
      </c>
      <c r="C49" s="111" t="inlineStr">
        <is>
          <t>긴급 상황 시 이전 버전 롤백 절차</t>
        </is>
      </c>
      <c r="D49" s="112" t="n"/>
      <c r="E49" s="113" t="n"/>
      <c r="F49" s="112" t="n"/>
      <c r="G49" s="114" t="inlineStr">
        <is>
          <t>미착수</t>
        </is>
      </c>
      <c r="H49" s="111" t="n"/>
    </row>
    <row r="50" ht="31.5" customHeight="1" s="60">
      <c r="A50" s="117" t="inlineStr">
        <is>
          <t>[P1] 중요</t>
        </is>
      </c>
      <c r="B50" s="115" t="inlineStr">
        <is>
          <t>런칭 사업 목표 수립</t>
        </is>
      </c>
      <c r="C50" s="116" t="inlineStr">
        <is>
          <t>D+7/30/90 DAU, 매출, Retention 목표치</t>
        </is>
      </c>
      <c r="D50" s="112" t="n"/>
      <c r="E50" s="113" t="n"/>
      <c r="F50" s="112" t="n"/>
      <c r="G50" s="114" t="inlineStr">
        <is>
          <t>미착수</t>
        </is>
      </c>
      <c r="H50" s="111" t="inlineStr">
        <is>
          <t>대표님 보고</t>
        </is>
      </c>
    </row>
    <row r="51" ht="31.5" customHeight="1" s="60">
      <c r="A51" s="117" t="inlineStr">
        <is>
          <t>[P1] 중요</t>
        </is>
      </c>
      <c r="B51" s="115" t="inlineStr">
        <is>
          <t>공식 SNS/커뮤니티 개설</t>
        </is>
      </c>
      <c r="C51" s="116" t="inlineStr">
        <is>
          <t>Twitter, Instagram, YouTube, 공식 카페</t>
        </is>
      </c>
      <c r="D51" s="112" t="n"/>
      <c r="E51" s="113" t="n"/>
      <c r="F51" s="112" t="n"/>
      <c r="G51" s="114" t="inlineStr">
        <is>
          <t>미착수</t>
        </is>
      </c>
      <c r="H51" s="111" t="n"/>
    </row>
    <row r="52" ht="31.5" customHeight="1" s="60">
      <c r="A52" s="117" t="inlineStr">
        <is>
          <t>[P1] 중요</t>
        </is>
      </c>
      <c r="B52" s="115" t="inlineStr">
        <is>
          <t>국가별 가격 정책 설정</t>
        </is>
      </c>
      <c r="C52" s="111" t="inlineStr">
        <is>
          <t>환율 기반 국가별 가격 구간</t>
        </is>
      </c>
      <c r="D52" s="112" t="n"/>
      <c r="E52" s="113" t="inlineStr">
        <is>
          <t>상점 상품 구성 확정</t>
        </is>
      </c>
      <c r="F52" s="112" t="n"/>
      <c r="G52" s="114" t="inlineStr">
        <is>
          <t>미착수</t>
        </is>
      </c>
      <c r="H52" s="111" t="n"/>
    </row>
    <row r="53" ht="31.5" customHeight="1" s="60">
      <c r="A53" s="119" t="inlineStr">
        <is>
          <t>[P2] 후속</t>
        </is>
      </c>
      <c r="B53" s="115" t="inlineStr">
        <is>
          <t>실시간 운영 대시보드 (BI)</t>
        </is>
      </c>
      <c r="C53" s="116" t="inlineStr">
        <is>
          <t>DAU, 매출, 접속자 수 등 BI 대시보드</t>
        </is>
      </c>
      <c r="D53" s="112" t="n"/>
      <c r="E53" s="113" t="n"/>
      <c r="F53" s="112" t="n"/>
      <c r="G53" s="114" t="inlineStr">
        <is>
          <t>미착수</t>
        </is>
      </c>
      <c r="H53" s="111" t="inlineStr">
        <is>
          <t>런칭 후 D+7 목표</t>
        </is>
      </c>
    </row>
    <row r="54" ht="31.5" customHeight="1" s="60">
      <c r="A54" s="119" t="inlineStr">
        <is>
          <t>[P2] 후속</t>
        </is>
      </c>
      <c r="B54" s="110" t="inlineStr">
        <is>
          <t>A/B 테스트 인프라</t>
        </is>
      </c>
      <c r="C54" s="111" t="inlineStr">
        <is>
          <t>가격, UI, 밸런스 실험 인프라</t>
        </is>
      </c>
      <c r="D54" s="112" t="n"/>
      <c r="E54" s="113" t="n"/>
      <c r="F54" s="112" t="n"/>
      <c r="G54" s="114" t="inlineStr">
        <is>
          <t>미착수</t>
        </is>
      </c>
      <c r="H54" s="111" t="n"/>
    </row>
    <row r="55" ht="31.5" customHeight="1" s="60">
      <c r="A55" s="119" t="inlineStr">
        <is>
          <t>[P2] 후속</t>
        </is>
      </c>
      <c r="B55" s="110" t="inlineStr">
        <is>
          <t>CRM/리타겟팅 시스템</t>
        </is>
      </c>
      <c r="C55" s="111" t="inlineStr">
        <is>
          <t>이탈 유저 복귀 캠페인, 푸시 세그먼트</t>
        </is>
      </c>
      <c r="D55" s="112" t="n"/>
      <c r="E55" s="113" t="n"/>
      <c r="F55" s="112" t="n"/>
      <c r="G55" s="114" t="inlineStr">
        <is>
          <t>미착수</t>
        </is>
      </c>
      <c r="H55" s="111" t="n"/>
    </row>
    <row r="56" ht="31.5" customHeight="1" s="60">
      <c r="A56" s="119" t="inlineStr">
        <is>
          <t>[P2] 후속</t>
        </is>
      </c>
      <c r="B56" s="115" t="inlineStr">
        <is>
          <t>스토어 피처링 요청</t>
        </is>
      </c>
      <c r="C56" s="116" t="inlineStr">
        <is>
          <t>Apple/Google 피처링 신청</t>
        </is>
      </c>
      <c r="D56" s="112" t="n"/>
      <c r="E56" s="113" t="n"/>
      <c r="F56" s="112" t="n"/>
      <c r="G56" s="114" t="inlineStr">
        <is>
          <t>미착수</t>
        </is>
      </c>
      <c r="H56" s="111" t="n"/>
    </row>
    <row r="57" ht="31.5" customHeight="1" s="60">
      <c r="A57" s="119" t="inlineStr">
        <is>
          <t>[P2] 후속</t>
        </is>
      </c>
      <c r="B57" s="115" t="inlineStr">
        <is>
          <t>런칭 PV/트레일러 영상</t>
        </is>
      </c>
      <c r="C57" s="111" t="inlineStr">
        <is>
          <t>공식 런칭 프로모션 영상 제작</t>
        </is>
      </c>
      <c r="D57" s="112" t="n"/>
      <c r="E57" s="113" t="n"/>
      <c r="F57" s="112" t="n"/>
      <c r="G57" s="114" t="inlineStr">
        <is>
          <t>미착수</t>
        </is>
      </c>
      <c r="H57" s="111" t="n"/>
    </row>
    <row r="58" ht="31.5" customHeight="1" s="60">
      <c r="A58" s="119" t="inlineStr">
        <is>
          <t>[P2] 후속</t>
        </is>
      </c>
      <c r="B58" s="115" t="inlineStr">
        <is>
          <t>인플루언서/KOL 시딩</t>
        </is>
      </c>
      <c r="C58" s="116" t="inlineStr">
        <is>
          <t>K-pop 인플루언서, 게임 유튜버 사전 시딩</t>
        </is>
      </c>
      <c r="D58" s="112" t="n"/>
      <c r="E58" s="113" t="n"/>
      <c r="F58" s="112" t="n"/>
      <c r="G58" s="114" t="inlineStr">
        <is>
          <t>미착수</t>
        </is>
      </c>
      <c r="H58" s="111" t="n"/>
    </row>
    <row r="59" ht="31.5" customHeight="1" s="60">
      <c r="A59" s="119" t="inlineStr">
        <is>
          <t>[P2] 후속</t>
        </is>
      </c>
      <c r="B59" s="115" t="inlineStr">
        <is>
          <t>프레스킷 준비</t>
        </is>
      </c>
      <c r="C59" s="111" t="inlineStr">
        <is>
          <t>미디어 배포용 게임 소개 자료</t>
        </is>
      </c>
      <c r="D59" s="112" t="n"/>
      <c r="E59" s="113" t="n"/>
      <c r="F59" s="112" t="n"/>
      <c r="G59" s="114" t="inlineStr">
        <is>
          <t>미착수</t>
        </is>
      </c>
      <c r="H59" s="111" t="n"/>
    </row>
    <row r="60" ht="31.5" customHeight="1" s="60">
      <c r="A60" s="119" t="inlineStr">
        <is>
          <t>[P2] 후속</t>
        </is>
      </c>
      <c r="B60" s="115" t="inlineStr">
        <is>
          <t>월간/주간 콘텐츠 로드맵</t>
        </is>
      </c>
      <c r="C60" s="111" t="inlineStr">
        <is>
          <t>런칭 후 3개월 업데이트 로드맵</t>
        </is>
      </c>
      <c r="D60" s="112" t="n"/>
      <c r="E60" s="113" t="n"/>
      <c r="F60" s="112" t="n"/>
      <c r="G60" s="114" t="inlineStr">
        <is>
          <t>미착수</t>
        </is>
      </c>
      <c r="H60" s="111" t="n"/>
    </row>
    <row r="61" ht="31.5" customHeight="1" s="60">
      <c r="A61" s="119" t="inlineStr">
        <is>
          <t>[P2] 후속</t>
        </is>
      </c>
      <c r="B61" s="115" t="inlineStr">
        <is>
          <t>리그/랭킹 시스템 고도화</t>
        </is>
      </c>
      <c r="C61" s="111" t="inlineStr">
        <is>
          <t>리그 시즌, 랭킹 산정, 보상 체계 튜닝</t>
        </is>
      </c>
      <c r="D61" s="112" t="n"/>
      <c r="E61" s="113" t="n"/>
      <c r="F61" s="112" t="n"/>
      <c r="G61" s="114" t="inlineStr">
        <is>
          <t>미착수</t>
        </is>
      </c>
      <c r="H61" s="111" t="n"/>
    </row>
    <row r="62" ht="31.5" customHeight="1" s="60">
      <c r="A62" s="119" t="inlineStr">
        <is>
          <t>[P2] 후속</t>
        </is>
      </c>
      <c r="B62" s="115" t="inlineStr">
        <is>
          <t>앱 용량 최적화</t>
        </is>
      </c>
      <c r="C62" s="111" t="inlineStr">
        <is>
          <t>초기 다운로드 최적화, 추가 리소스 분리</t>
        </is>
      </c>
      <c r="D62" s="112" t="n"/>
      <c r="E62" s="113" t="n"/>
      <c r="F62" s="112" t="n"/>
      <c r="G62" s="114" t="inlineStr">
        <is>
          <t>미착수</t>
        </is>
      </c>
      <c r="H62" s="111" t="n"/>
    </row>
    <row r="63" ht="31.5" customHeight="1" s="60">
      <c r="A63" s="119" t="inlineStr">
        <is>
          <t>[P2] 후속</t>
        </is>
      </c>
      <c r="B63" s="115" t="inlineStr">
        <is>
          <t>딥링크 동작 검증</t>
        </is>
      </c>
      <c r="C63" s="111" t="inlineStr">
        <is>
          <t>마케팅 딥링크, 스토어 리다이렉트</t>
        </is>
      </c>
      <c r="D63" s="112" t="n"/>
      <c r="E63" s="113" t="n"/>
      <c r="F63" s="112" t="n"/>
      <c r="G63" s="114" t="inlineStr">
        <is>
          <t>미착수</t>
        </is>
      </c>
      <c r="H63" s="111" t="n"/>
    </row>
    <row r="64" ht="31.5" customHeight="1" s="60">
      <c r="A64" s="119" t="inlineStr">
        <is>
          <t>[P2] 후속</t>
        </is>
      </c>
      <c r="B64" s="115" t="inlineStr">
        <is>
          <t>쿠폰 시스템</t>
        </is>
      </c>
      <c r="C64" s="111" t="inlineStr">
        <is>
          <t>프로모션 쿠폰 발급/사용/만료</t>
        </is>
      </c>
      <c r="D64" s="112" t="n"/>
      <c r="E64" s="113" t="n"/>
      <c r="F64" s="112" t="n"/>
      <c r="G64" s="114" t="inlineStr">
        <is>
          <t>미착수</t>
        </is>
      </c>
      <c r="H64" s="111" t="n"/>
    </row>
    <row r="65" ht="31.5" customHeight="1" s="60">
      <c r="A65" s="119" t="inlineStr">
        <is>
          <t>[P2] 후속</t>
        </is>
      </c>
      <c r="B65" s="115" t="inlineStr">
        <is>
          <t>긴급 밴/제재 시스템</t>
        </is>
      </c>
      <c r="C65" s="111" t="inlineStr">
        <is>
          <t>어뷰저 탐지, 계정 제재 고도화</t>
        </is>
      </c>
      <c r="D65" s="112" t="n"/>
      <c r="E65" s="113" t="n"/>
      <c r="F65" s="112" t="n"/>
      <c r="G65" s="114" t="inlineStr">
        <is>
          <t>미착수</t>
        </is>
      </c>
      <c r="H65" s="111" t="n"/>
    </row>
    <row r="66" ht="31.5" customHeight="1" s="60">
      <c r="A66" s="119" t="inlineStr">
        <is>
          <t>[P2] 후속</t>
        </is>
      </c>
      <c r="B66" s="115" t="inlineStr">
        <is>
          <t>환불 처리 프로세스 고도화</t>
        </is>
      </c>
      <c r="C66" s="111" t="inlineStr">
        <is>
          <t>스토어 환불 시 재화 회수 자동화</t>
        </is>
      </c>
      <c r="D66" s="112" t="n"/>
      <c r="E66" s="113" t="n"/>
      <c r="F66" s="112" t="n"/>
      <c r="G66" s="114" t="inlineStr">
        <is>
          <t>미착수</t>
        </is>
      </c>
      <c r="H66" s="111" t="n"/>
    </row>
    <row r="67" ht="31.5" customHeight="1" s="60">
      <c r="A67" s="119" t="inlineStr">
        <is>
          <t>[P2] 후속</t>
        </is>
      </c>
      <c r="B67" s="115" t="inlineStr">
        <is>
          <t>인게임 고객센터/FAQ</t>
        </is>
      </c>
      <c r="C67" s="111" t="inlineStr">
        <is>
          <t>인게임 FAQ, 1:1 문의 시스템</t>
        </is>
      </c>
      <c r="D67" s="112" t="n"/>
      <c r="E67" s="113" t="n"/>
      <c r="F67" s="112" t="n"/>
      <c r="G67" s="114" t="inlineStr">
        <is>
          <t>미착수</t>
        </is>
      </c>
      <c r="H67" s="111" t="n"/>
    </row>
    <row r="68" ht="31.5" customHeight="1" s="60">
      <c r="A68" s="119" t="inlineStr">
        <is>
          <t>[P2] 후속</t>
        </is>
      </c>
      <c r="B68" s="115" t="inlineStr">
        <is>
          <t>버그 리포트 수집 시스템</t>
        </is>
      </c>
      <c r="C68" s="111" t="inlineStr">
        <is>
          <t>유저 버그 리포트 접수/분류/전달</t>
        </is>
      </c>
      <c r="D68" s="112" t="n"/>
      <c r="E68" s="113" t="n"/>
      <c r="F68" s="112" t="n"/>
      <c r="G68" s="114" t="inlineStr">
        <is>
          <t>미착수</t>
        </is>
      </c>
      <c r="H68" s="111" t="n"/>
    </row>
    <row r="69" ht="31.5" customHeight="1" s="60">
      <c r="A69" s="119" t="inlineStr">
        <is>
          <t>[P2] 후속</t>
        </is>
      </c>
      <c r="B69" s="115" t="inlineStr">
        <is>
          <t>취약점 스캔/펜테스트</t>
        </is>
      </c>
      <c r="C69" s="111" t="inlineStr">
        <is>
          <t>외부 보안 진단</t>
        </is>
      </c>
      <c r="D69" s="112" t="n"/>
      <c r="E69" s="113" t="n"/>
      <c r="F69" s="112" t="n"/>
      <c r="G69" s="114" t="inlineStr">
        <is>
          <t>미착수</t>
        </is>
      </c>
      <c r="H69" s="111" t="n"/>
    </row>
    <row r="70" ht="31.5" customHeight="1" s="60">
      <c r="A70" s="119" t="inlineStr">
        <is>
          <t>[P2] 후속</t>
        </is>
      </c>
      <c r="B70" s="115" t="inlineStr">
        <is>
          <t>폰트/레이아웃 현지화 고도화</t>
        </is>
      </c>
      <c r="C70" s="111" t="inlineStr">
        <is>
          <t>아랍어 RTL 등 특수 레이아웃</t>
        </is>
      </c>
      <c r="D70" s="112" t="n"/>
      <c r="E70" s="113" t="n"/>
      <c r="F70" s="112" t="n"/>
      <c r="G70" s="114" t="inlineStr">
        <is>
          <t>미착수</t>
        </is>
      </c>
      <c r="H70" s="111" t="n"/>
    </row>
    <row r="71" ht="31.5" customHeight="1" s="60">
      <c r="A71" s="119" t="inlineStr">
        <is>
          <t>[P2] 후속</t>
        </is>
      </c>
      <c r="B71" s="115" t="inlineStr">
        <is>
          <t>셧다운제/게임시간 선택제 대응</t>
        </is>
      </c>
      <c r="C71" s="111" t="inlineStr">
        <is>
          <t>청소년 게임 이용시간 관련 (현행법 확인)</t>
        </is>
      </c>
      <c r="D71" s="112" t="n"/>
      <c r="E71" s="113" t="n"/>
      <c r="F71" s="112" t="n"/>
      <c r="G71" s="114" t="inlineStr">
        <is>
          <t>미착수</t>
        </is>
      </c>
      <c r="H71" s="111" t="n"/>
    </row>
    <row r="72" ht="31.5" customHeight="1" s="60">
      <c r="A72" s="119" t="inlineStr">
        <is>
          <t>[P2] 후속</t>
        </is>
      </c>
      <c r="B72" s="115" t="inlineStr">
        <is>
          <t>퍼널 분석 설계</t>
        </is>
      </c>
      <c r="C72" s="111" t="inlineStr">
        <is>
          <t>설치→튜토리얼→첫결제 퍼널 트래킹</t>
        </is>
      </c>
      <c r="D72" s="112" t="n"/>
      <c r="E72" s="113" t="n"/>
      <c r="F72" s="112" t="n"/>
      <c r="G72" s="114" t="inlineStr">
        <is>
          <t>미착수</t>
        </is>
      </c>
      <c r="H72" s="111" t="n"/>
    </row>
  </sheetData>
  <autoFilter ref="A4:H72"/>
  <mergeCells count="2">
    <mergeCell ref="A2:H2"/>
    <mergeCell ref="A1:H1"/>
  </mergeCells>
  <dataValidations count="3">
    <dataValidation sqref="G5:G72" showDropDown="0" showInputMessage="0" showErrorMessage="0" allowBlank="1" type="list" errorStyle="stop" operator="between">
      <formula1>"완료,진행중,미착수,블로킹,포기"</formula1>
      <formula2>0</formula2>
    </dataValidation>
    <dataValidation sqref="D5:D72" showDropDown="0" showInputMessage="0" showErrorMessage="0" allowBlank="1" type="list" errorStyle="stop" operator="between">
      <formula1>"인수필요,미정,포기"</formula1>
      <formula2>0</formula2>
    </dataValidation>
    <dataValidation sqref="A5:A72" showDropDown="0" showInputMessage="0" showErrorMessage="0" allowBlank="1" type="list" errorStyle="stop" operator="between">
      <formula1>"[BLOCK] 런칭차단,[QUAL] 런칭품질,[POST] 런칭후"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2026-02-24T11:37:20Z</dcterms:created>
  <dcterms:modified xmlns:dcterms="http://purl.org/dc/terms/" xmlns:xsi="http://www.w3.org/2001/XMLSchema-instance" xsi:type="dcterms:W3CDTF">2026-02-24T11:56:03Z</dcterms:modified>
  <cp:revision>0</cp:revision>
</cp:coreProperties>
</file>